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c8a05884448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dastro_Propriedades" sheetId="1" r:id="R9f67204461964d97"/>
    <x:sheet xmlns:r="http://schemas.openxmlformats.org/officeDocument/2006/relationships" name="Contatos" sheetId="2" r:id="Re87d16ba45b5477c"/>
    <x:sheet xmlns:r="http://schemas.openxmlformats.org/officeDocument/2006/relationships" name="Areas_Talhoes_Glebas" sheetId="3" r:id="R4229303801734fa5"/>
    <x:sheet xmlns:r="http://schemas.openxmlformats.org/officeDocument/2006/relationships" name="Documentos" sheetId="4" r:id="Rc39e677203504de2"/>
    <x:sheet xmlns:r="http://schemas.openxmlformats.org/officeDocument/2006/relationships" name="Supabase_Mapeamento" sheetId="5" r:id="Rc508e6f90ff8451d"/>
    <x:sheet xmlns:r="http://schemas.openxmlformats.org/officeDocument/2006/relationships" name="Dicionario_Campos" sheetId="6" r:id="Rb5be46d1b1bb4e6e"/>
    <x:sheet xmlns:r="http://schemas.openxmlformats.org/officeDocument/2006/relationships" name="Listas_Validacao" sheetId="7" r:id="Rb54c179ea18a40d9"/>
    <x:sheet xmlns:r="http://schemas.openxmlformats.org/officeDocument/2006/relationships" name="Checks" sheetId="8" r:id="R595161ca251148c7"/>
    <x:sheet xmlns:r="http://schemas.openxmlformats.org/officeDocument/2006/relationships" name="Resumo" sheetId="9" r:id="Re4e1ebf81ed446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bb8849b1b5423e" /><Relationship Type="http://schemas.openxmlformats.org/officeDocument/2006/relationships/theme" Target="/xl/theme/theme1.xml" Id="Rb703564001274aca" /><Relationship Type="http://schemas.openxmlformats.org/officeDocument/2006/relationships/sharedStrings" Target="/xl/sharedStrings.xml" Id="Rf2ec89f8806c4378" /><Relationship Type="http://schemas.openxmlformats.org/officeDocument/2006/relationships/worksheet" Target="/xl/worksheets/sheet1.xml" Id="R9f67204461964d97" /><Relationship Type="http://schemas.openxmlformats.org/officeDocument/2006/relationships/worksheet" Target="/xl/worksheets/sheet2.xml" Id="Re87d16ba45b5477c" /><Relationship Type="http://schemas.openxmlformats.org/officeDocument/2006/relationships/worksheet" Target="/xl/worksheets/sheet3.xml" Id="R4229303801734fa5" /><Relationship Type="http://schemas.openxmlformats.org/officeDocument/2006/relationships/worksheet" Target="/xl/worksheets/sheet4.xml" Id="Rc39e677203504de2" /><Relationship Type="http://schemas.openxmlformats.org/officeDocument/2006/relationships/worksheet" Target="/xl/worksheets/sheet5.xml" Id="Rc508e6f90ff8451d" /><Relationship Type="http://schemas.openxmlformats.org/officeDocument/2006/relationships/worksheet" Target="/xl/worksheets/sheet6.xml" Id="Rb5be46d1b1bb4e6e" /><Relationship Type="http://schemas.openxmlformats.org/officeDocument/2006/relationships/worksheet" Target="/xl/worksheets/sheet7.xml" Id="Rb54c179ea18a40d9" /><Relationship Type="http://schemas.openxmlformats.org/officeDocument/2006/relationships/worksheet" Target="/xl/worksheets/sheet8.xml" Id="R595161ca251148c7" /><Relationship Type="http://schemas.openxmlformats.org/officeDocument/2006/relationships/worksheet" Target="/xl/worksheets/sheet9.xml" Id="Re4e1ebf81ed446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id_propriedade</x:v>
      </x:c>
      <x:c r="B1" t="str">
        <x:v>codigo_propriedade</x:v>
      </x:c>
      <x:c r="C1" t="str">
        <x:v>nome_propriedade</x:v>
      </x:c>
      <x:c r="D1" t="str">
        <x:v>tipo_propriedade</x:v>
      </x:c>
      <x:c r="E1" t="str">
        <x:v>status_cadastro</x:v>
      </x:c>
      <x:c r="F1" t="str">
        <x:v>situacao_operacional</x:v>
      </x:c>
      <x:c r="G1" t="str">
        <x:v>data_cadastro</x:v>
      </x:c>
      <x:c r="H1" t="str">
        <x:v>cpf_cnpj_proprietario</x:v>
      </x:c>
      <x:c r="I1" t="str">
        <x:v>nome_proprietario</x:v>
      </x:c>
      <x:c r="J1" t="str">
        <x:v>tipo_vinculo</x:v>
      </x:c>
      <x:c r="K1" t="str">
        <x:v>telefone_principal</x:v>
      </x:c>
      <x:c r="L1" t="str">
        <x:v>email_principal</x:v>
      </x:c>
      <x:c r="M1" t="str">
        <x:v>cep</x:v>
      </x:c>
      <x:c r="N1" t="str">
        <x:v>uf</x:v>
      </x:c>
      <x:c r="O1" t="str">
        <x:v>municipio</x:v>
      </x:c>
      <x:c r="P1" t="str">
        <x:v>comunidade_localidade</x:v>
      </x:c>
      <x:c r="Q1" t="str">
        <x:v>endereco_referencia</x:v>
      </x:c>
      <x:c r="R1" t="str">
        <x:v>latitude_sede</x:v>
      </x:c>
      <x:c r="S1" t="str">
        <x:v>longitude_sede</x:v>
      </x:c>
      <x:c r="T1" t="str">
        <x:v>area_total_ha</x:v>
      </x:c>
      <x:c r="U1" t="str">
        <x:v>area_produtiva_ha</x:v>
      </x:c>
      <x:c r="V1" t="str">
        <x:v>area_preservacao_ha</x:v>
      </x:c>
      <x:c r="W1" t="str">
        <x:v>principal_atividade</x:v>
      </x:c>
      <x:c r="X1" t="str">
        <x:v>culturas_principais</x:v>
      </x:c>
      <x:c r="Y1" t="str">
        <x:v>criacoes_principais</x:v>
      </x:c>
      <x:c r="Z1" t="str">
        <x:v>possui_car</x:v>
      </x:c>
      <x:c r="AA1" t="str">
        <x:v>numero_car</x:v>
      </x:c>
      <x:c r="AB1" t="str">
        <x:v>possui_ccir</x:v>
      </x:c>
      <x:c r="AC1" t="str">
        <x:v>numero_ccir</x:v>
      </x:c>
      <x:c r="AD1" t="str">
        <x:v>possui_itr</x:v>
      </x:c>
      <x:c r="AE1" t="str">
        <x:v>numero_itr</x:v>
      </x:c>
      <x:c r="AF1" t="str">
        <x:v>possui_matricula</x:v>
      </x:c>
      <x:c r="AG1" t="str">
        <x:v>numero_matricula</x:v>
      </x:c>
      <x:c r="AH1" t="str">
        <x:v>possui_georreferenciamento</x:v>
      </x:c>
      <x:c r="AI1" t="str">
        <x:v>fonte_georreferenciamento</x:v>
      </x:c>
      <x:c r="AJ1" t="str">
        <x:v>modulo_origem</x:v>
      </x:c>
      <x:c r="AK1" t="str">
        <x:v>observacoes</x:v>
      </x:c>
      <x:c r="AL1" t="str">
        <x:v>created_at</x:v>
      </x:c>
      <x:c r="AM1" t="str">
        <x:v>updated_at</x:v>
      </x:c>
      <x:c r="AN1" t="str">
        <x:v>sync_status</x:v>
      </x:c>
    </x:row>
    <x:row r="2">
      <x:c r="A2" t="str">
        <x:v>prop_0001</x:v>
      </x:c>
      <x:c r="B2" t="str">
        <x:v>PA-0001</x:v>
      </x:c>
      <x:c r="C2" t="str">
        <x:v>Fazenda Santa Clara</x:v>
      </x:c>
      <x:c r="D2" t="str">
        <x:v>Fazenda</x:v>
      </x:c>
      <x:c r="E2" t="str">
        <x:v>Ativo</x:v>
      </x:c>
      <x:c r="F2" t="str">
        <x:v>Em operacao</x:v>
      </x:c>
      <x:c r="G2" t="str">
        <x:v>2026-04-01</x:v>
      </x:c>
      <x:c r="H2" t="str">
        <x:v>04231876000110</x:v>
      </x:c>
      <x:c r="I2" t="str">
        <x:v>Agro Santa Clara Ltda</x:v>
      </x:c>
      <x:c r="J2" t="str">
        <x:v>Proprietario</x:v>
      </x:c>
      <x:c r="K2" t="str">
        <x:v>+55 92 99901-0001</x:v>
      </x:c>
      <x:c r="L2" t="str">
        <x:v>santaclara@exemplo.com</x:v>
      </x:c>
      <x:c r="M2" t="str">
        <x:v>69000001</x:v>
      </x:c>
      <x:c r="N2" t="str">
        <x:v>AM</x:v>
      </x:c>
      <x:c r="O2" t="str">
        <x:v>Manaus</x:v>
      </x:c>
      <x:c r="P2" t="str">
        <x:v>Ramal Bela Vista</x:v>
      </x:c>
      <x:c r="Q2" t="str">
        <x:v>Km 12, margem direita</x:v>
      </x:c>
      <x:c r="R2" t="n">
        <x:v>-3.119</x:v>
      </x:c>
      <x:c r="S2" t="n">
        <x:v>-60.021</x:v>
      </x:c>
      <x:c r="T2" t="n">
        <x:v>1250.5</x:v>
      </x:c>
      <x:c r="U2" t="n">
        <x:v>820</x:v>
      </x:c>
      <x:c r="V2" t="n">
        <x:v>310</x:v>
      </x:c>
      <x:c r="W2" t="str">
        <x:v>Producao vegetal</x:v>
      </x:c>
      <x:c r="X2" t="str">
        <x:v>Mandioca; Cacau; Banana</x:v>
      </x:c>
      <x:c r="Y2" t="str">
        <x:v>Aves</x:v>
      </x:c>
      <x:c r="Z2" t="str">
        <x:v>Sim</x:v>
      </x:c>
      <x:c r="AA2" t="str">
        <x:v>AM-000001</x:v>
      </x:c>
      <x:c r="AB2" t="str">
        <x:v>Sim</x:v>
      </x:c>
      <x:c r="AC2" t="str">
        <x:v>CCIR-000001</x:v>
      </x:c>
      <x:c r="AD2" t="str">
        <x:v>Sim</x:v>
      </x:c>
      <x:c r="AE2" t="str">
        <x:v>ITR-000001</x:v>
      </x:c>
      <x:c r="AF2" t="str">
        <x:v>Sim</x:v>
      </x:c>
      <x:c r="AG2" t="str">
        <x:v>MAT-000001</x:v>
      </x:c>
      <x:c r="AH2" t="str">
        <x:v>Parcial</x:v>
      </x:c>
      <x:c r="AI2" t="str">
        <x:v>SIGEF</x:v>
      </x:c>
      <x:c r="AJ2" t="str">
        <x:v>Mod_Gestao_Unidade_Agricola</x:v>
      </x:c>
      <x:c r="AK2" t="str">
        <x:v>Cadastro simulado para teste de importacao.</x:v>
      </x:c>
      <x:c r="AL2" t="n">
        <x:v>46137</x:v>
      </x:c>
      <x:c r="AM2" t="n">
        <x:v>46137</x:v>
      </x:c>
      <x:c r="AN2" t="str">
        <x:v>pendente</x:v>
      </x:c>
    </x:row>
    <x:row r="3">
      <x:c r="A3" t="str">
        <x:v>prop_0002</x:v>
      </x:c>
      <x:c r="B3" t="str">
        <x:v>PA-0002</x:v>
      </x:c>
      <x:c r="C3" t="str">
        <x:v>Sitio Boa Esperanca</x:v>
      </x:c>
      <x:c r="D3" t="str">
        <x:v>Sitio</x:v>
      </x:c>
      <x:c r="E3" t="str">
        <x:v>Ativo</x:v>
      </x:c>
      <x:c r="F3" t="str">
        <x:v>Em operacao</x:v>
      </x:c>
      <x:c r="G3" t="str">
        <x:v>2026-04-02</x:v>
      </x:c>
      <x:c r="H3" t="str">
        <x:v>73921456000</x:v>
      </x:c>
      <x:c r="I3" t="str">
        <x:v>Joao Batista Ferreira</x:v>
      </x:c>
      <x:c r="J3" t="str">
        <x:v>Proprietario</x:v>
      </x:c>
      <x:c r="K3" t="str">
        <x:v>+55 92 99901-0002</x:v>
      </x:c>
      <x:c r="L3" t="str">
        <x:v>boaesperanca@exemplo.com</x:v>
      </x:c>
      <x:c r="M3" t="str">
        <x:v>69120000</x:v>
      </x:c>
      <x:c r="N3" t="str">
        <x:v>AM</x:v>
      </x:c>
      <x:c r="O3" t="str">
        <x:v>Iranduba</x:v>
      </x:c>
      <x:c r="P3" t="str">
        <x:v>Comunidade Sao Jose</x:v>
      </x:c>
      <x:c r="Q3" t="str">
        <x:v>Estrada vicinal 04</x:v>
      </x:c>
      <x:c r="R3" t="n">
        <x:v>-3.2841</x:v>
      </x:c>
      <x:c r="S3" t="n">
        <x:v>-60.1874</x:v>
      </x:c>
      <x:c r="T3" t="n">
        <x:v>84.3</x:v>
      </x:c>
      <x:c r="U3" t="n">
        <x:v>61.2</x:v>
      </x:c>
      <x:c r="V3" t="n">
        <x:v>18.5</x:v>
      </x:c>
      <x:c r="W3" t="str">
        <x:v>Horticultura</x:v>
      </x:c>
      <x:c r="X3" t="str">
        <x:v>Hortalicas; Macaxeira; Mamao</x:v>
      </x:c>
      <x:c r="Y3" t="str">
        <x:v>Galinhas</x:v>
      </x:c>
      <x:c r="Z3" t="str">
        <x:v>Sim</x:v>
      </x:c>
      <x:c r="AA3" t="str">
        <x:v>AM-000002</x:v>
      </x:c>
      <x:c r="AB3" t="str">
        <x:v>Nao</x:v>
      </x:c>
      <x:c r="AC3" t="str"/>
      <x:c r="AD3" t="str">
        <x:v>Sim</x:v>
      </x:c>
      <x:c r="AE3" t="str">
        <x:v>ITR-000002</x:v>
      </x:c>
      <x:c r="AF3" t="str">
        <x:v>Nao</x:v>
      </x:c>
      <x:c r="AG3" t="str"/>
      <x:c r="AH3" t="str">
        <x:v>Nao</x:v>
      </x:c>
      <x:c r="AI3" t="str">
        <x:v>GPS campo</x:v>
      </x:c>
      <x:c r="AJ3" t="str">
        <x:v>Mod_Gestao_Unidade_Agricola</x:v>
      </x:c>
      <x:c r="AK3" t="str">
        <x:v>Unidade familiar com producao diversificada.</x:v>
      </x:c>
      <x:c r="AL3" t="n">
        <x:v>46137</x:v>
      </x:c>
      <x:c r="AM3" t="n">
        <x:v>46137</x:v>
      </x:c>
      <x:c r="AN3" t="str">
        <x:v>validado</x:v>
      </x:c>
    </x:row>
    <x:row r="4">
      <x:c r="A4" t="str">
        <x:v>prop_0003</x:v>
      </x:c>
      <x:c r="B4" t="str">
        <x:v>PA-0003</x:v>
      </x:c>
      <x:c r="C4" t="str">
        <x:v>Chacara Rio Verde</x:v>
      </x:c>
      <x:c r="D4" t="str">
        <x:v>Chacara</x:v>
      </x:c>
      <x:c r="E4" t="str">
        <x:v>Em validacao</x:v>
      </x:c>
      <x:c r="F4" t="str">
        <x:v>Em regularizacao</x:v>
      </x:c>
      <x:c r="G4" t="str">
        <x:v>2026-04-03</x:v>
      </x:c>
      <x:c r="H4" t="str">
        <x:v>11876543000187</x:v>
      </x:c>
      <x:c r="I4" t="str">
        <x:v>Cooperativa Rio Verde</x:v>
      </x:c>
      <x:c r="J4" t="str">
        <x:v>Cooperativa</x:v>
      </x:c>
      <x:c r="K4" t="str">
        <x:v>+55 92 99901-0003</x:v>
      </x:c>
      <x:c r="L4" t="str">
        <x:v>rioverde@exemplo.com</x:v>
      </x:c>
      <x:c r="M4" t="str">
        <x:v>69151000</x:v>
      </x:c>
      <x:c r="N4" t="str">
        <x:v>AM</x:v>
      </x:c>
      <x:c r="O4" t="str">
        <x:v>Manacapuru</x:v>
      </x:c>
      <x:c r="P4" t="str">
        <x:v>Lago do Miriti</x:v>
      </x:c>
      <x:c r="Q4" t="str">
        <x:v>Proximo ao porto comunitario</x:v>
      </x:c>
      <x:c r="R4" t="n">
        <x:v>-3.2998</x:v>
      </x:c>
      <x:c r="S4" t="n">
        <x:v>-60.6205</x:v>
      </x:c>
      <x:c r="T4" t="n">
        <x:v>42.75</x:v>
      </x:c>
      <x:c r="U4" t="n">
        <x:v>28.4</x:v>
      </x:c>
      <x:c r="V4" t="n">
        <x:v>9.1</x:v>
      </x:c>
      <x:c r="W4" t="str">
        <x:v>Agrofloresta</x:v>
      </x:c>
      <x:c r="X4" t="str">
        <x:v>Acai; Cupuacu; Cacau</x:v>
      </x:c>
      <x:c r="Y4" t="str">
        <x:v>Abelhas</x:v>
      </x:c>
      <x:c r="Z4" t="str">
        <x:v>Sim</x:v>
      </x:c>
      <x:c r="AA4" t="str">
        <x:v>AM-000003</x:v>
      </x:c>
      <x:c r="AB4" t="str">
        <x:v>Sim</x:v>
      </x:c>
      <x:c r="AC4" t="str">
        <x:v>CCIR-000003</x:v>
      </x:c>
      <x:c r="AD4" t="str">
        <x:v>Nao</x:v>
      </x:c>
      <x:c r="AE4" t="str"/>
      <x:c r="AF4" t="str">
        <x:v>Nao</x:v>
      </x:c>
      <x:c r="AG4" t="str"/>
      <x:c r="AH4" t="str">
        <x:v>Parcial</x:v>
      </x:c>
      <x:c r="AI4" t="str">
        <x:v>CAR</x:v>
      </x:c>
      <x:c r="AJ4" t="str">
        <x:v>Mod_Gestao_Unidade_Agricola</x:v>
      </x:c>
      <x:c r="AK4" t="str">
        <x:v>Aguardando validacao documental.</x:v>
      </x:c>
      <x:c r="AL4" t="n">
        <x:v>46137</x:v>
      </x:c>
      <x:c r="AM4" t="n">
        <x:v>46137</x:v>
      </x:c>
      <x:c r="AN4" t="str">
        <x:v>pendente</x:v>
      </x:c>
    </x:row>
    <x:row r="5">
      <x:c r="A5" t="str">
        <x:v>prop_0004</x:v>
      </x:c>
      <x:c r="B5" t="str">
        <x:v>PA-0004</x:v>
      </x:c>
      <x:c r="C5" t="str">
        <x:v>Fazenda Nova Alianca</x:v>
      </x:c>
      <x:c r="D5" t="str">
        <x:v>Fazenda</x:v>
      </x:c>
      <x:c r="E5" t="str">
        <x:v>Ativo</x:v>
      </x:c>
      <x:c r="F5" t="str">
        <x:v>Em operacao</x:v>
      </x:c>
      <x:c r="G5" t="str">
        <x:v>2026-04-04</x:v>
      </x:c>
      <x:c r="H5" t="str">
        <x:v>05362987000164</x:v>
      </x:c>
      <x:c r="I5" t="str">
        <x:v>Nova Alianca Agropecuaria</x:v>
      </x:c>
      <x:c r="J5" t="str">
        <x:v>Proprietario</x:v>
      </x:c>
      <x:c r="K5" t="str">
        <x:v>+55 92 99901-0004</x:v>
      </x:c>
      <x:c r="L5" t="str">
        <x:v>novaalianca@exemplo.com</x:v>
      </x:c>
      <x:c r="M5" t="str">
        <x:v>76800000</x:v>
      </x:c>
      <x:c r="N5" t="str">
        <x:v>RO</x:v>
      </x:c>
      <x:c r="O5" t="str">
        <x:v>Porto Velho</x:v>
      </x:c>
      <x:c r="P5" t="str">
        <x:v>Linha 21</x:v>
      </x:c>
      <x:c r="Q5" t="str">
        <x:v>Km 38 da linha principal</x:v>
      </x:c>
      <x:c r="R5" t="n">
        <x:v>-8.7612</x:v>
      </x:c>
      <x:c r="S5" t="n">
        <x:v>-63.9039</x:v>
      </x:c>
      <x:c r="T5" t="n">
        <x:v>2380</x:v>
      </x:c>
      <x:c r="U5" t="n">
        <x:v>1460</x:v>
      </x:c>
      <x:c r="V5" t="n">
        <x:v>710</x:v>
      </x:c>
      <x:c r="W5" t="str">
        <x:v>Pecuaria</x:v>
      </x:c>
      <x:c r="X5" t="str">
        <x:v>Milho; Capim; Soja</x:v>
      </x:c>
      <x:c r="Y5" t="str">
        <x:v>Bovinos</x:v>
      </x:c>
      <x:c r="Z5" t="str">
        <x:v>Sim</x:v>
      </x:c>
      <x:c r="AA5" t="str">
        <x:v>RO-000004</x:v>
      </x:c>
      <x:c r="AB5" t="str">
        <x:v>Sim</x:v>
      </x:c>
      <x:c r="AC5" t="str">
        <x:v>CCIR-000004</x:v>
      </x:c>
      <x:c r="AD5" t="str">
        <x:v>Sim</x:v>
      </x:c>
      <x:c r="AE5" t="str">
        <x:v>ITR-000004</x:v>
      </x:c>
      <x:c r="AF5" t="str">
        <x:v>Sim</x:v>
      </x:c>
      <x:c r="AG5" t="str">
        <x:v>MAT-000004</x:v>
      </x:c>
      <x:c r="AH5" t="str">
        <x:v>Sim</x:v>
      </x:c>
      <x:c r="AI5" t="str">
        <x:v>SIGEF</x:v>
      </x:c>
      <x:c r="AJ5" t="str">
        <x:v>Mod_Gestao_Unidade_Agricola</x:v>
      </x:c>
      <x:c r="AK5" t="str">
        <x:v>Area com pecuaria e lavoura integrada.</x:v>
      </x:c>
      <x:c r="AL5" t="n">
        <x:v>46137</x:v>
      </x:c>
      <x:c r="AM5" t="n">
        <x:v>46137</x:v>
      </x:c>
      <x:c r="AN5" t="str">
        <x:v>importado</x:v>
      </x:c>
    </x:row>
    <x:row r="6">
      <x:c r="A6" t="str">
        <x:v>prop_0005</x:v>
      </x:c>
      <x:c r="B6" t="str">
        <x:v>PA-0005</x:v>
      </x:c>
      <x:c r="C6" t="str">
        <x:v>Unidade Produtiva Sao Pedro</x:v>
      </x:c>
      <x:c r="D6" t="str">
        <x:v>Unidade produtiva</x:v>
      </x:c>
      <x:c r="E6" t="str">
        <x:v>Ativo</x:v>
      </x:c>
      <x:c r="F6" t="str">
        <x:v>Em implantacao</x:v>
      </x:c>
      <x:c r="G6" t="str">
        <x:v>2026-04-05</x:v>
      </x:c>
      <x:c r="H6" t="str">
        <x:v>64028319000</x:v>
      </x:c>
      <x:c r="I6" t="str">
        <x:v>Maria Oliveira Santos</x:v>
      </x:c>
      <x:c r="J6" t="str">
        <x:v>Possuidor</x:v>
      </x:c>
      <x:c r="K6" t="str">
        <x:v>+55 93 99901-0005</x:v>
      </x:c>
      <x:c r="L6" t="str">
        <x:v>saopedro@exemplo.com</x:v>
      </x:c>
      <x:c r="M6" t="str">
        <x:v>68180000</x:v>
      </x:c>
      <x:c r="N6" t="str">
        <x:v>PA</x:v>
      </x:c>
      <x:c r="O6" t="str">
        <x:v>Santarem</x:v>
      </x:c>
      <x:c r="P6" t="str">
        <x:v>Planalto Santareno</x:v>
      </x:c>
      <x:c r="Q6" t="str">
        <x:v>Travessao 07</x:v>
      </x:c>
      <x:c r="R6" t="n">
        <x:v>-2.531</x:v>
      </x:c>
      <x:c r="S6" t="n">
        <x:v>-54.7065</x:v>
      </x:c>
      <x:c r="T6" t="n">
        <x:v>63.2</x:v>
      </x:c>
      <x:c r="U6" t="n">
        <x:v>44.8</x:v>
      </x:c>
      <x:c r="V6" t="n">
        <x:v>12</x:v>
      </x:c>
      <x:c r="W6" t="str">
        <x:v>Fruticultura</x:v>
      </x:c>
      <x:c r="X6" t="str">
        <x:v>Cupuacu; Banana; Limao</x:v>
      </x:c>
      <x:c r="Y6" t="str">
        <x:v>Suinos</x:v>
      </x:c>
      <x:c r="Z6" t="str">
        <x:v>Nao</x:v>
      </x:c>
      <x:c r="AA6" t="str"/>
      <x:c r="AB6" t="str">
        <x:v>Nao</x:v>
      </x:c>
      <x:c r="AC6" t="str"/>
      <x:c r="AD6" t="str">
        <x:v>Nao</x:v>
      </x:c>
      <x:c r="AE6" t="str"/>
      <x:c r="AF6" t="str">
        <x:v>Nao</x:v>
      </x:c>
      <x:c r="AG6" t="str"/>
      <x:c r="AH6" t="str">
        <x:v>Nao</x:v>
      </x:c>
      <x:c r="AI6" t="str">
        <x:v>GPS campo</x:v>
      </x:c>
      <x:c r="AJ6" t="str">
        <x:v>Mod_Gestao_Unidade_Agricola</x:v>
      </x:c>
      <x:c r="AK6" t="str">
        <x:v>Cadastro inicial para regularizacao.</x:v>
      </x:c>
      <x:c r="AL6" t="n">
        <x:v>46137</x:v>
      </x:c>
      <x:c r="AM6" t="n">
        <x:v>46137</x:v>
      </x:c>
      <x:c r="AN6" t="str">
        <x:v>erro</x:v>
      </x:c>
    </x:row>
    <x:row r="7">
      <x:c r="A7" t="str">
        <x:v>prop_0006</x:v>
      </x:c>
      <x:c r="B7" t="str">
        <x:v>PA-0006</x:v>
      </x:c>
      <x:c r="C7" t="str">
        <x:v>Fazenda Horizonte</x:v>
      </x:c>
      <x:c r="D7" t="str">
        <x:v>Fazenda</x:v>
      </x:c>
      <x:c r="E7" t="str">
        <x:v>Ativo</x:v>
      </x:c>
      <x:c r="F7" t="str">
        <x:v>Em operacao</x:v>
      </x:c>
      <x:c r="G7" t="str">
        <x:v>2026-04-06</x:v>
      </x:c>
      <x:c r="H7" t="str">
        <x:v>19182745000131</x:v>
      </x:c>
      <x:c r="I7" t="str">
        <x:v>Horizonte Agro Ltda</x:v>
      </x:c>
      <x:c r="J7" t="str">
        <x:v>Arrendatario</x:v>
      </x:c>
      <x:c r="K7" t="str">
        <x:v>+55 69 99901-0006</x:v>
      </x:c>
      <x:c r="L7" t="str">
        <x:v>horizonte@exemplo.com</x:v>
      </x:c>
      <x:c r="M7" t="str">
        <x:v>76900000</x:v>
      </x:c>
      <x:c r="N7" t="str">
        <x:v>RO</x:v>
      </x:c>
      <x:c r="O7" t="str">
        <x:v>Ji-Parana</x:v>
      </x:c>
      <x:c r="P7" t="str">
        <x:v>Setor Riachuelo</x:v>
      </x:c>
      <x:c r="Q7" t="str">
        <x:v>Linha 94, lote 18</x:v>
      </x:c>
      <x:c r="R7" t="n">
        <x:v>-10.885</x:v>
      </x:c>
      <x:c r="S7" t="n">
        <x:v>-61.9512</x:v>
      </x:c>
      <x:c r="T7" t="n">
        <x:v>910</x:v>
      </x:c>
      <x:c r="U7" t="n">
        <x:v>620</x:v>
      </x:c>
      <x:c r="V7" t="n">
        <x:v>205</x:v>
      </x:c>
      <x:c r="W7" t="str">
        <x:v>Graos</x:v>
      </x:c>
      <x:c r="X7" t="str">
        <x:v>Soja; Milho; Arroz</x:v>
      </x:c>
      <x:c r="Y7" t="str">
        <x:v>Bovinos</x:v>
      </x:c>
      <x:c r="Z7" t="str">
        <x:v>Sim</x:v>
      </x:c>
      <x:c r="AA7" t="str">
        <x:v>RO-000006</x:v>
      </x:c>
      <x:c r="AB7" t="str">
        <x:v>Sim</x:v>
      </x:c>
      <x:c r="AC7" t="str">
        <x:v>CCIR-000006</x:v>
      </x:c>
      <x:c r="AD7" t="str">
        <x:v>Sim</x:v>
      </x:c>
      <x:c r="AE7" t="str">
        <x:v>ITR-000006</x:v>
      </x:c>
      <x:c r="AF7" t="str">
        <x:v>Sim</x:v>
      </x:c>
      <x:c r="AG7" t="str">
        <x:v>MAT-000006</x:v>
      </x:c>
      <x:c r="AH7" t="str">
        <x:v>Sim</x:v>
      </x:c>
      <x:c r="AI7" t="str">
        <x:v>SIGEF</x:v>
      </x:c>
      <x:c r="AJ7" t="str">
        <x:v>Mod_Gestao_Unidade_Agricola</x:v>
      </x:c>
      <x:c r="AK7" t="str">
        <x:v>Propriedade pronta para integracao produtiva.</x:v>
      </x:c>
      <x:c r="AL7" t="n">
        <x:v>46137</x:v>
      </x:c>
      <x:c r="AM7" t="n">
        <x:v>46137</x:v>
      </x:c>
      <x:c r="AN7" t="str">
        <x:v>validado</x:v>
      </x:c>
    </x:row>
    <x:row r="8">
      <x:c r="A8" t="str">
        <x:v>prop_0007</x:v>
      </x:c>
      <x:c r="B8" t="str">
        <x:v>PA-0007</x:v>
      </x:c>
      <x:c r="C8" t="str">
        <x:v>Sitio Primavera</x:v>
      </x:c>
      <x:c r="D8" t="str">
        <x:v>Sitio</x:v>
      </x:c>
      <x:c r="E8" t="str">
        <x:v>Pendente</x:v>
      </x:c>
      <x:c r="F8" t="str">
        <x:v>Em regularizacao</x:v>
      </x:c>
      <x:c r="G8" t="str">
        <x:v>2026-04-07</x:v>
      </x:c>
      <x:c r="H8" t="str">
        <x:v>58291376000</x:v>
      </x:c>
      <x:c r="I8" t="str">
        <x:v>Carlos Menezes Lima</x:v>
      </x:c>
      <x:c r="J8" t="str">
        <x:v>Parceiro</x:v>
      </x:c>
      <x:c r="K8" t="str">
        <x:v>+55 92 99901-0007</x:v>
      </x:c>
      <x:c r="L8" t="str">
        <x:v>primavera@exemplo.com</x:v>
      </x:c>
      <x:c r="M8" t="str">
        <x:v>69240000</x:v>
      </x:c>
      <x:c r="N8" t="str">
        <x:v>AM</x:v>
      </x:c>
      <x:c r="O8" t="str">
        <x:v>Presidente Figueiredo</x:v>
      </x:c>
      <x:c r="P8" t="str">
        <x:v>Ramal do Urubui</x:v>
      </x:c>
      <x:c r="Q8" t="str">
        <x:v>Km 5 apos ponte</x:v>
      </x:c>
      <x:c r="R8" t="n">
        <x:v>-2.0342</x:v>
      </x:c>
      <x:c r="S8" t="n">
        <x:v>-60.0251</x:v>
      </x:c>
      <x:c r="T8" t="n">
        <x:v>31.9</x:v>
      </x:c>
      <x:c r="U8" t="n">
        <x:v>21.6</x:v>
      </x:c>
      <x:c r="V8" t="n">
        <x:v>6</x:v>
      </x:c>
      <x:c r="W8" t="str">
        <x:v>Olericultura</x:v>
      </x:c>
      <x:c r="X8" t="str">
        <x:v>Pimentao; Alface; Coentro</x:v>
      </x:c>
      <x:c r="Y8" t="str">
        <x:v>Peixes</x:v>
      </x:c>
      <x:c r="Z8" t="str">
        <x:v>Nao</x:v>
      </x:c>
      <x:c r="AA8" t="str"/>
      <x:c r="AB8" t="str">
        <x:v>Nao</x:v>
      </x:c>
      <x:c r="AC8" t="str"/>
      <x:c r="AD8" t="str">
        <x:v>Nao</x:v>
      </x:c>
      <x:c r="AE8" t="str"/>
      <x:c r="AF8" t="str">
        <x:v>Nao</x:v>
      </x:c>
      <x:c r="AG8" t="str"/>
      <x:c r="AH8" t="str">
        <x:v>Nao</x:v>
      </x:c>
      <x:c r="AI8" t="str">
        <x:v>App campo</x:v>
      </x:c>
      <x:c r="AJ8" t="str">
        <x:v>Mod_Gestao_Unidade_Agricola</x:v>
      </x:c>
      <x:c r="AK8" t="str">
        <x:v>Falta complementar documentos.</x:v>
      </x:c>
      <x:c r="AL8" t="n">
        <x:v>46137</x:v>
      </x:c>
      <x:c r="AM8" t="n">
        <x:v>46137</x:v>
      </x:c>
      <x:c r="AN8" t="str">
        <x:v>pendente</x:v>
      </x:c>
    </x:row>
    <x:row r="9">
      <x:c r="A9" t="str">
        <x:v>prop_0008</x:v>
      </x:c>
      <x:c r="B9" t="str">
        <x:v>PA-0008</x:v>
      </x:c>
      <x:c r="C9" t="str">
        <x:v>Fazenda Sol Nascente</x:v>
      </x:c>
      <x:c r="D9" t="str">
        <x:v>Fazenda</x:v>
      </x:c>
      <x:c r="E9" t="str">
        <x:v>Ativo</x:v>
      </x:c>
      <x:c r="F9" t="str">
        <x:v>Em operacao</x:v>
      </x:c>
      <x:c r="G9" t="str">
        <x:v>2026-04-08</x:v>
      </x:c>
      <x:c r="H9" t="str">
        <x:v>08273651000155</x:v>
      </x:c>
      <x:c r="I9" t="str">
        <x:v>Sol Nascente Rural SA</x:v>
      </x:c>
      <x:c r="J9" t="str">
        <x:v>Proprietario</x:v>
      </x:c>
      <x:c r="K9" t="str">
        <x:v>+55 94 99901-0008</x:v>
      </x:c>
      <x:c r="L9" t="str">
        <x:v>solnascente@exemplo.com</x:v>
      </x:c>
      <x:c r="M9" t="str">
        <x:v>68540000</x:v>
      </x:c>
      <x:c r="N9" t="str">
        <x:v>PA</x:v>
      </x:c>
      <x:c r="O9" t="str">
        <x:v>Redencao</x:v>
      </x:c>
      <x:c r="P9" t="str">
        <x:v>Vicinal 12</x:v>
      </x:c>
      <x:c r="Q9" t="str">
        <x:v>Entrada pela rodovia estadual</x:v>
      </x:c>
      <x:c r="R9" t="n">
        <x:v>-8.0306</x:v>
      </x:c>
      <x:c r="S9" t="n">
        <x:v>-50.0319</x:v>
      </x:c>
      <x:c r="T9" t="n">
        <x:v>1750</x:v>
      </x:c>
      <x:c r="U9" t="n">
        <x:v>1190</x:v>
      </x:c>
      <x:c r="V9" t="n">
        <x:v>430</x:v>
      </x:c>
      <x:c r="W9" t="str">
        <x:v>Pecuaria</x:v>
      </x:c>
      <x:c r="X9" t="str">
        <x:v>Capim; Milho; Sorgo</x:v>
      </x:c>
      <x:c r="Y9" t="str">
        <x:v>Bovinos; Equinos</x:v>
      </x:c>
      <x:c r="Z9" t="str">
        <x:v>Sim</x:v>
      </x:c>
      <x:c r="AA9" t="str">
        <x:v>PA-000008</x:v>
      </x:c>
      <x:c r="AB9" t="str">
        <x:v>Sim</x:v>
      </x:c>
      <x:c r="AC9" t="str">
        <x:v>CCIR-000008</x:v>
      </x:c>
      <x:c r="AD9" t="str">
        <x:v>Sim</x:v>
      </x:c>
      <x:c r="AE9" t="str">
        <x:v>ITR-000008</x:v>
      </x:c>
      <x:c r="AF9" t="str">
        <x:v>Sim</x:v>
      </x:c>
      <x:c r="AG9" t="str">
        <x:v>MAT-000008</x:v>
      </x:c>
      <x:c r="AH9" t="str">
        <x:v>Sim</x:v>
      </x:c>
      <x:c r="AI9" t="str">
        <x:v>SIGEF</x:v>
      </x:c>
      <x:c r="AJ9" t="str">
        <x:v>Mod_Gestao_Unidade_Agricola</x:v>
      </x:c>
      <x:c r="AK9" t="str">
        <x:v>Base para rastreabilidade e comercializacao.</x:v>
      </x:c>
      <x:c r="AL9" t="n">
        <x:v>46137</x:v>
      </x:c>
      <x:c r="AM9" t="n">
        <x:v>46137</x:v>
      </x:c>
      <x:c r="AN9" t="str">
        <x:v>validado</x:v>
      </x:c>
    </x:row>
    <x:row r="10">
      <x:c r="A10" t="str">
        <x:v>prop_0009</x:v>
      </x:c>
      <x:c r="B10" t="str">
        <x:v>PA-0009</x:v>
      </x:c>
      <x:c r="C10" t="str">
        <x:v>Comunidade Agroextrativista Mapira</x:v>
      </x:c>
      <x:c r="D10" t="str">
        <x:v>Comunidade agricola</x:v>
      </x:c>
      <x:c r="E10" t="str">
        <x:v>Ativo</x:v>
      </x:c>
      <x:c r="F10" t="str">
        <x:v>Em operacao</x:v>
      </x:c>
      <x:c r="G10" t="str">
        <x:v>2026-04-09</x:v>
      </x:c>
      <x:c r="H10" t="str">
        <x:v>31928764000102</x:v>
      </x:c>
      <x:c r="I10" t="str">
        <x:v>Associacao Mapira</x:v>
      </x:c>
      <x:c r="J10" t="str">
        <x:v>Associacao</x:v>
      </x:c>
      <x:c r="K10" t="str">
        <x:v>+55 92 99901-0009</x:v>
      </x:c>
      <x:c r="L10" t="str">
        <x:v>mapira@exemplo.com</x:v>
      </x:c>
      <x:c r="M10" t="str">
        <x:v>69470000</x:v>
      </x:c>
      <x:c r="N10" t="str">
        <x:v>AM</x:v>
      </x:c>
      <x:c r="O10" t="str">
        <x:v>Tefe</x:v>
      </x:c>
      <x:c r="P10" t="str">
        <x:v>Rio Mapira</x:v>
      </x:c>
      <x:c r="Q10" t="str">
        <x:v>Acesso fluvial pela comunidade</x:v>
      </x:c>
      <x:c r="R10" t="n">
        <x:v>-3.3682</x:v>
      </x:c>
      <x:c r="S10" t="n">
        <x:v>-64.7205</x:v>
      </x:c>
      <x:c r="T10" t="n">
        <x:v>520.75</x:v>
      </x:c>
      <x:c r="U10" t="n">
        <x:v>210.3</x:v>
      </x:c>
      <x:c r="V10" t="n">
        <x:v>260</x:v>
      </x:c>
      <x:c r="W10" t="str">
        <x:v>Agroextrativismo</x:v>
      </x:c>
      <x:c r="X10" t="str">
        <x:v>Acai; Castanha; Mandioca</x:v>
      </x:c>
      <x:c r="Y10" t="str">
        <x:v>Aves; Peixes</x:v>
      </x:c>
      <x:c r="Z10" t="str">
        <x:v>Sim</x:v>
      </x:c>
      <x:c r="AA10" t="str">
        <x:v>AM-000009</x:v>
      </x:c>
      <x:c r="AB10" t="str">
        <x:v>Nao</x:v>
      </x:c>
      <x:c r="AC10" t="str"/>
      <x:c r="AD10" t="str">
        <x:v>Nao</x:v>
      </x:c>
      <x:c r="AE10" t="str"/>
      <x:c r="AF10" t="str">
        <x:v>Nao</x:v>
      </x:c>
      <x:c r="AG10" t="str"/>
      <x:c r="AH10" t="str">
        <x:v>Parcial</x:v>
      </x:c>
      <x:c r="AI10" t="str">
        <x:v>CAR</x:v>
      </x:c>
      <x:c r="AJ10" t="str">
        <x:v>Mod_Gestao_Unidade_Agricola</x:v>
      </x:c>
      <x:c r="AK10" t="str">
        <x:v>Cadastro coletivo com varias familias.</x:v>
      </x:c>
      <x:c r="AL10" t="n">
        <x:v>46137</x:v>
      </x:c>
      <x:c r="AM10" t="n">
        <x:v>46137</x:v>
      </x:c>
      <x:c r="AN10" t="str">
        <x:v>pendente</x:v>
      </x:c>
    </x:row>
    <x:row r="11">
      <x:c r="A11" t="str">
        <x:v>prop_0010</x:v>
      </x:c>
      <x:c r="B11" t="str">
        <x:v>PA-0010</x:v>
      </x:c>
      <x:c r="C11" t="str">
        <x:v>Lote Rural Caminho das Aguas</x:v>
      </x:c>
      <x:c r="D11" t="str">
        <x:v>Lote rural</x:v>
      </x:c>
      <x:c r="E11" t="str">
        <x:v>Ativo</x:v>
      </x:c>
      <x:c r="F11" t="str">
        <x:v>Em implantacao</x:v>
      </x:c>
      <x:c r="G11" t="str">
        <x:v>2026-04-10</x:v>
      </x:c>
      <x:c r="H11" t="str">
        <x:v>90548271000</x:v>
      </x:c>
      <x:c r="I11" t="str">
        <x:v>Ana Lucia Pereira</x:v>
      </x:c>
      <x:c r="J11" t="str">
        <x:v>Proprietario</x:v>
      </x:c>
      <x:c r="K11" t="str">
        <x:v>+55 92 99901-0010</x:v>
      </x:c>
      <x:c r="L11" t="str">
        <x:v>caminhodasaguas@exemplo.com</x:v>
      </x:c>
      <x:c r="M11" t="str">
        <x:v>69100000</x:v>
      </x:c>
      <x:c r="N11" t="str">
        <x:v>AM</x:v>
      </x:c>
      <x:c r="O11" t="str">
        <x:v>Careiro</x:v>
      </x:c>
      <x:c r="P11" t="str">
        <x:v>BR-319</x:v>
      </x:c>
      <x:c r="Q11" t="str">
        <x:v>Lote 32, ramal secundario</x:v>
      </x:c>
      <x:c r="R11" t="n">
        <x:v>-3.768</x:v>
      </x:c>
      <x:c r="S11" t="n">
        <x:v>-60.362</x:v>
      </x:c>
      <x:c r="T11" t="n">
        <x:v>18.4</x:v>
      </x:c>
      <x:c r="U11" t="n">
        <x:v>12.8</x:v>
      </x:c>
      <x:c r="V11" t="n">
        <x:v>3.2</x:v>
      </x:c>
      <x:c r="W11" t="str">
        <x:v>Piscicultura</x:v>
      </x:c>
      <x:c r="X11" t="str">
        <x:v>Macaxeira; Banana</x:v>
      </x:c>
      <x:c r="Y11" t="str">
        <x:v>Tambacu; Tambaqui</x:v>
      </x:c>
      <x:c r="Z11" t="str">
        <x:v>Sim</x:v>
      </x:c>
      <x:c r="AA11" t="str">
        <x:v>AM-000010</x:v>
      </x:c>
      <x:c r="AB11" t="str">
        <x:v>Nao</x:v>
      </x:c>
      <x:c r="AC11" t="str"/>
      <x:c r="AD11" t="str">
        <x:v>Sim</x:v>
      </x:c>
      <x:c r="AE11" t="str">
        <x:v>ITR-000010</x:v>
      </x:c>
      <x:c r="AF11" t="str">
        <x:v>Nao</x:v>
      </x:c>
      <x:c r="AG11" t="str"/>
      <x:c r="AH11" t="str">
        <x:v>Nao</x:v>
      </x:c>
      <x:c r="AI11" t="str">
        <x:v>GPS campo</x:v>
      </x:c>
      <x:c r="AJ11" t="str">
        <x:v>Mod_Gestao_Unidade_Agricola</x:v>
      </x:c>
      <x:c r="AK11" t="str">
        <x:v>Unidade pequena para simulacao plug and play.</x:v>
      </x:c>
      <x:c r="AL11" t="n">
        <x:v>46137</x:v>
      </x:c>
      <x:c r="AM11" t="n">
        <x:v>46137</x:v>
      </x:c>
      <x:c r="AN11" t="str">
        <x:v>validado</x:v>
      </x:c>
    </x:row>
  </x:sheetData>
  <x:autoFilter ref="A1:AN11"/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id_contato</x:v>
      </x:c>
      <x:c r="B1" t="str">
        <x:v>id_propriedade</x:v>
      </x:c>
      <x:c r="C1" t="str">
        <x:v>tipo_contato</x:v>
      </x:c>
      <x:c r="D1" t="str">
        <x:v>nome</x:v>
      </x:c>
      <x:c r="E1" t="str">
        <x:v>cpf_cnpj</x:v>
      </x:c>
      <x:c r="F1" t="str">
        <x:v>cargo_funcao</x:v>
      </x:c>
      <x:c r="G1" t="str">
        <x:v>telefone</x:v>
      </x:c>
      <x:c r="H1" t="str">
        <x:v>email</x:v>
      </x:c>
      <x:c r="I1" t="str">
        <x:v>principal</x:v>
      </x:c>
      <x:c r="J1" t="str">
        <x:v>observacoes</x:v>
      </x:c>
    </x:row>
    <x:row r="2">
      <x:c r="A2" t="str">
        <x:v>cont_0001</x:v>
      </x:c>
      <x:c r="B2" t="str">
        <x:v>prop_0001</x:v>
      </x:c>
      <x:c r="C2" t="str">
        <x:v>Responsavel tecnico</x:v>
      </x:c>
      <x:c r="D2" t="str">
        <x:v>Agro Santa Clara Ltda</x:v>
      </x:c>
      <x:c r="E2" t="str">
        <x:v>04231876000110</x:v>
      </x:c>
      <x:c r="F2" t="str">
        <x:v>Responsavel de campo</x:v>
      </x:c>
      <x:c r="G2" t="str">
        <x:v>+55 92 99901-0001</x:v>
      </x:c>
      <x:c r="H2" t="str">
        <x:v>santaclara@exemplo.com</x:v>
      </x:c>
      <x:c r="I2" t="str">
        <x:v>Sim</x:v>
      </x:c>
      <x:c r="J2" t="str">
        <x:v>Contato simulado vinculado a propriedade.</x:v>
      </x:c>
    </x:row>
    <x:row r="3">
      <x:c r="A3" t="str">
        <x:v>cont_0002</x:v>
      </x:c>
      <x:c r="B3" t="str">
        <x:v>prop_0002</x:v>
      </x:c>
      <x:c r="C3" t="str">
        <x:v>Proprietario</x:v>
      </x:c>
      <x:c r="D3" t="str">
        <x:v>Joao Batista Ferreira</x:v>
      </x:c>
      <x:c r="E3" t="str">
        <x:v>73921456000</x:v>
      </x:c>
      <x:c r="F3" t="str">
        <x:v>Responsavel legal</x:v>
      </x:c>
      <x:c r="G3" t="str">
        <x:v>+55 92 99901-0002</x:v>
      </x:c>
      <x:c r="H3" t="str">
        <x:v>boaesperanca@exemplo.com</x:v>
      </x:c>
      <x:c r="I3" t="str">
        <x:v>Nao</x:v>
      </x:c>
      <x:c r="J3" t="str">
        <x:v>Contato simulado vinculado a propriedade.</x:v>
      </x:c>
    </x:row>
    <x:row r="4">
      <x:c r="A4" t="str">
        <x:v>cont_0003</x:v>
      </x:c>
      <x:c r="B4" t="str">
        <x:v>prop_0003</x:v>
      </x:c>
      <x:c r="C4" t="str">
        <x:v>Administrativo</x:v>
      </x:c>
      <x:c r="D4" t="str">
        <x:v>Cooperativa Rio Verde</x:v>
      </x:c>
      <x:c r="E4" t="str">
        <x:v>11876543000187</x:v>
      </x:c>
      <x:c r="F4" t="str">
        <x:v>Gestao documental</x:v>
      </x:c>
      <x:c r="G4" t="str">
        <x:v>+55 92 99901-0003</x:v>
      </x:c>
      <x:c r="H4" t="str">
        <x:v>rioverde@exemplo.com</x:v>
      </x:c>
      <x:c r="I4" t="str">
        <x:v>Nao</x:v>
      </x:c>
      <x:c r="J4" t="str">
        <x:v>Contato simulado vinculado a propriedade.</x:v>
      </x:c>
    </x:row>
    <x:row r="5">
      <x:c r="A5" t="str">
        <x:v>cont_0004</x:v>
      </x:c>
      <x:c r="B5" t="str">
        <x:v>prop_0004</x:v>
      </x:c>
      <x:c r="C5" t="str">
        <x:v>Responsavel tecnico</x:v>
      </x:c>
      <x:c r="D5" t="str">
        <x:v>Nova Alianca Agropecuaria</x:v>
      </x:c>
      <x:c r="E5" t="str">
        <x:v>05362987000164</x:v>
      </x:c>
      <x:c r="F5" t="str">
        <x:v>Responsavel de campo</x:v>
      </x:c>
      <x:c r="G5" t="str">
        <x:v>+55 92 99901-0004</x:v>
      </x:c>
      <x:c r="H5" t="str">
        <x:v>novaalianca@exemplo.com</x:v>
      </x:c>
      <x:c r="I5" t="str">
        <x:v>Nao</x:v>
      </x:c>
      <x:c r="J5" t="str">
        <x:v>Contato simulado vinculado a propriedade.</x:v>
      </x:c>
    </x:row>
    <x:row r="6">
      <x:c r="A6" t="str">
        <x:v>cont_0005</x:v>
      </x:c>
      <x:c r="B6" t="str">
        <x:v>prop_0005</x:v>
      </x:c>
      <x:c r="C6" t="str">
        <x:v>Proprietario</x:v>
      </x:c>
      <x:c r="D6" t="str">
        <x:v>Maria Oliveira Santos</x:v>
      </x:c>
      <x:c r="E6" t="str">
        <x:v>64028319000</x:v>
      </x:c>
      <x:c r="F6" t="str">
        <x:v>Responsavel legal</x:v>
      </x:c>
      <x:c r="G6" t="str">
        <x:v>+55 93 99901-0005</x:v>
      </x:c>
      <x:c r="H6" t="str">
        <x:v>saopedro@exemplo.com</x:v>
      </x:c>
      <x:c r="I6" t="str">
        <x:v>Nao</x:v>
      </x:c>
      <x:c r="J6" t="str">
        <x:v>Contato simulado vinculado a propriedade.</x:v>
      </x:c>
    </x:row>
    <x:row r="7">
      <x:c r="A7" t="str">
        <x:v>cont_0006</x:v>
      </x:c>
      <x:c r="B7" t="str">
        <x:v>prop_0006</x:v>
      </x:c>
      <x:c r="C7" t="str">
        <x:v>Administrativo</x:v>
      </x:c>
      <x:c r="D7" t="str">
        <x:v>Horizonte Agro Ltda</x:v>
      </x:c>
      <x:c r="E7" t="str">
        <x:v>19182745000131</x:v>
      </x:c>
      <x:c r="F7" t="str">
        <x:v>Gestao documental</x:v>
      </x:c>
      <x:c r="G7" t="str">
        <x:v>+55 69 99901-0006</x:v>
      </x:c>
      <x:c r="H7" t="str">
        <x:v>horizonte@exemplo.com</x:v>
      </x:c>
      <x:c r="I7" t="str">
        <x:v>Nao</x:v>
      </x:c>
      <x:c r="J7" t="str">
        <x:v>Contato simulado vinculado a propriedade.</x:v>
      </x:c>
    </x:row>
    <x:row r="8">
      <x:c r="A8" t="str">
        <x:v>cont_0007</x:v>
      </x:c>
      <x:c r="B8" t="str">
        <x:v>prop_0007</x:v>
      </x:c>
      <x:c r="C8" t="str">
        <x:v>Responsavel tecnico</x:v>
      </x:c>
      <x:c r="D8" t="str">
        <x:v>Carlos Menezes Lima</x:v>
      </x:c>
      <x:c r="E8" t="str">
        <x:v>58291376000</x:v>
      </x:c>
      <x:c r="F8" t="str">
        <x:v>Responsavel de campo</x:v>
      </x:c>
      <x:c r="G8" t="str">
        <x:v>+55 92 99901-0007</x:v>
      </x:c>
      <x:c r="H8" t="str">
        <x:v>primavera@exemplo.com</x:v>
      </x:c>
      <x:c r="I8" t="str">
        <x:v>Nao</x:v>
      </x:c>
      <x:c r="J8" t="str">
        <x:v>Contato simulado vinculado a propriedade.</x:v>
      </x:c>
    </x:row>
    <x:row r="9">
      <x:c r="A9" t="str">
        <x:v>cont_0008</x:v>
      </x:c>
      <x:c r="B9" t="str">
        <x:v>prop_0008</x:v>
      </x:c>
      <x:c r="C9" t="str">
        <x:v>Proprietario</x:v>
      </x:c>
      <x:c r="D9" t="str">
        <x:v>Sol Nascente Rural SA</x:v>
      </x:c>
      <x:c r="E9" t="str">
        <x:v>08273651000155</x:v>
      </x:c>
      <x:c r="F9" t="str">
        <x:v>Responsavel legal</x:v>
      </x:c>
      <x:c r="G9" t="str">
        <x:v>+55 94 99901-0008</x:v>
      </x:c>
      <x:c r="H9" t="str">
        <x:v>solnascente@exemplo.com</x:v>
      </x:c>
      <x:c r="I9" t="str">
        <x:v>Nao</x:v>
      </x:c>
      <x:c r="J9" t="str">
        <x:v>Contato simulado vinculado a propriedade.</x:v>
      </x:c>
    </x:row>
    <x:row r="10">
      <x:c r="A10" t="str">
        <x:v>cont_0009</x:v>
      </x:c>
      <x:c r="B10" t="str">
        <x:v>prop_0009</x:v>
      </x:c>
      <x:c r="C10" t="str">
        <x:v>Administrativo</x:v>
      </x:c>
      <x:c r="D10" t="str">
        <x:v>Associacao Mapira</x:v>
      </x:c>
      <x:c r="E10" t="str">
        <x:v>31928764000102</x:v>
      </x:c>
      <x:c r="F10" t="str">
        <x:v>Gestao documental</x:v>
      </x:c>
      <x:c r="G10" t="str">
        <x:v>+55 92 99901-0009</x:v>
      </x:c>
      <x:c r="H10" t="str">
        <x:v>mapira@exemplo.com</x:v>
      </x:c>
      <x:c r="I10" t="str">
        <x:v>Nao</x:v>
      </x:c>
      <x:c r="J10" t="str">
        <x:v>Contato simulado vinculado a propriedade.</x:v>
      </x:c>
    </x:row>
    <x:row r="11">
      <x:c r="A11" t="str">
        <x:v>cont_0010</x:v>
      </x:c>
      <x:c r="B11" t="str">
        <x:v>prop_0010</x:v>
      </x:c>
      <x:c r="C11" t="str">
        <x:v>Responsavel tecnico</x:v>
      </x:c>
      <x:c r="D11" t="str">
        <x:v>Ana Lucia Pereira</x:v>
      </x:c>
      <x:c r="E11" t="str">
        <x:v>90548271000</x:v>
      </x:c>
      <x:c r="F11" t="str">
        <x:v>Responsavel de campo</x:v>
      </x:c>
      <x:c r="G11" t="str">
        <x:v>+55 92 99901-0010</x:v>
      </x:c>
      <x:c r="H11" t="str">
        <x:v>caminhodasaguas@exemplo.com</x:v>
      </x:c>
      <x:c r="I11" t="str">
        <x:v>Nao</x:v>
      </x:c>
      <x:c r="J11" t="str">
        <x:v>Contato simulado vinculado a propriedade.</x:v>
      </x:c>
    </x:row>
  </x:sheetData>
  <x:autoFilter ref="A1:J11"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id_area</x:v>
      </x:c>
      <x:c r="B1" t="str">
        <x:v>id_propriedade</x:v>
      </x:c>
      <x:c r="C1" t="str">
        <x:v>codigo_area</x:v>
      </x:c>
      <x:c r="D1" t="str">
        <x:v>nome_area_talhao_gleba</x:v>
      </x:c>
      <x:c r="E1" t="str">
        <x:v>tipo_area</x:v>
      </x:c>
      <x:c r="F1" t="str">
        <x:v>area_ha</x:v>
      </x:c>
      <x:c r="G1" t="str">
        <x:v>uso_atual</x:v>
      </x:c>
      <x:c r="H1" t="str">
        <x:v>cultura_atividade</x:v>
      </x:c>
      <x:c r="I1" t="str">
        <x:v>latitude_centroide</x:v>
      </x:c>
      <x:c r="J1" t="str">
        <x:v>longitude_centroide</x:v>
      </x:c>
      <x:c r="K1" t="str">
        <x:v>status_area</x:v>
      </x:c>
      <x:c r="L1" t="str">
        <x:v>observacoes</x:v>
      </x:c>
    </x:row>
    <x:row r="2">
      <x:c r="A2" t="str">
        <x:v>area_0001</x:v>
      </x:c>
      <x:c r="B2" t="str">
        <x:v>prop_0001</x:v>
      </x:c>
      <x:c r="C2" t="str">
        <x:v>TAL-01</x:v>
      </x:c>
      <x:c r="D2" t="str">
        <x:v>Talhao 01</x:v>
      </x:c>
      <x:c r="E2" t="str">
        <x:v>Talhao</x:v>
      </x:c>
      <x:c r="F2" t="n">
        <x:v>147.6</x:v>
      </x:c>
      <x:c r="G2" t="str">
        <x:v>Produtivo</x:v>
      </x:c>
      <x:c r="H2" t="str">
        <x:v>Mandioca</x:v>
      </x:c>
      <x:c r="I2" t="n">
        <x:v>-3.123</x:v>
      </x:c>
      <x:c r="J2" t="n">
        <x:v>-60.025</x:v>
      </x:c>
      <x:c r="K2" t="str">
        <x:v>Ativo</x:v>
      </x:c>
      <x:c r="L2" t="str">
        <x:v>Area simulada para teste de relacionamento com propriedade.</x:v>
      </x:c>
    </x:row>
    <x:row r="3">
      <x:c r="A3" t="str">
        <x:v>area_0002</x:v>
      </x:c>
      <x:c r="B3" t="str">
        <x:v>prop_0002</x:v>
      </x:c>
      <x:c r="C3" t="str">
        <x:v>TAL-02</x:v>
      </x:c>
      <x:c r="D3" t="str">
        <x:v>Gleba 02</x:v>
      </x:c>
      <x:c r="E3" t="str">
        <x:v>Gleba</x:v>
      </x:c>
      <x:c r="F3" t="n">
        <x:v>11.02</x:v>
      </x:c>
      <x:c r="G3" t="str">
        <x:v>Implantacao</x:v>
      </x:c>
      <x:c r="H3" t="str">
        <x:v>Hortalicas</x:v>
      </x:c>
      <x:c r="I3" t="n">
        <x:v>-3.2881</x:v>
      </x:c>
      <x:c r="J3" t="n">
        <x:v>-60.1914</x:v>
      </x:c>
      <x:c r="K3" t="str">
        <x:v>Ativo</x:v>
      </x:c>
      <x:c r="L3" t="str">
        <x:v>Area simulada para teste de relacionamento com propriedade.</x:v>
      </x:c>
    </x:row>
    <x:row r="4">
      <x:c r="A4" t="str">
        <x:v>area_0003</x:v>
      </x:c>
      <x:c r="B4" t="str">
        <x:v>prop_0003</x:v>
      </x:c>
      <x:c r="C4" t="str">
        <x:v>TAL-03</x:v>
      </x:c>
      <x:c r="D4" t="str">
        <x:v>Talhao 03</x:v>
      </x:c>
      <x:c r="E4" t="str">
        <x:v>Talhao</x:v>
      </x:c>
      <x:c r="F4" t="n">
        <x:v>5.11</x:v>
      </x:c>
      <x:c r="G4" t="str">
        <x:v>Reserva</x:v>
      </x:c>
      <x:c r="H4" t="str">
        <x:v>Acai</x:v>
      </x:c>
      <x:c r="I4" t="n">
        <x:v>-3.3038</x:v>
      </x:c>
      <x:c r="J4" t="n">
        <x:v>-60.6245</x:v>
      </x:c>
      <x:c r="K4" t="str">
        <x:v>Ativo</x:v>
      </x:c>
      <x:c r="L4" t="str">
        <x:v>Area simulada para teste de relacionamento com propriedade.</x:v>
      </x:c>
    </x:row>
    <x:row r="5">
      <x:c r="A5" t="str">
        <x:v>area_0004</x:v>
      </x:c>
      <x:c r="B5" t="str">
        <x:v>prop_0004</x:v>
      </x:c>
      <x:c r="C5" t="str">
        <x:v>TAL-04</x:v>
      </x:c>
      <x:c r="D5" t="str">
        <x:v>Gleba 04</x:v>
      </x:c>
      <x:c r="E5" t="str">
        <x:v>Gleba</x:v>
      </x:c>
      <x:c r="F5" t="n">
        <x:v>262.8</x:v>
      </x:c>
      <x:c r="G5" t="str">
        <x:v>Pousio</x:v>
      </x:c>
      <x:c r="H5" t="str">
        <x:v>Milho</x:v>
      </x:c>
      <x:c r="I5" t="n">
        <x:v>-8.7652</x:v>
      </x:c>
      <x:c r="J5" t="n">
        <x:v>-63.9079</x:v>
      </x:c>
      <x:c r="K5" t="str">
        <x:v>Ativo</x:v>
      </x:c>
      <x:c r="L5" t="str">
        <x:v>Area simulada para teste de relacionamento com propriedade.</x:v>
      </x:c>
    </x:row>
    <x:row r="6">
      <x:c r="A6" t="str">
        <x:v>area_0005</x:v>
      </x:c>
      <x:c r="B6" t="str">
        <x:v>prop_0005</x:v>
      </x:c>
      <x:c r="C6" t="str">
        <x:v>TAL-05</x:v>
      </x:c>
      <x:c r="D6" t="str">
        <x:v>Talhao 05</x:v>
      </x:c>
      <x:c r="E6" t="str">
        <x:v>Talhao</x:v>
      </x:c>
      <x:c r="F6" t="n">
        <x:v>8.06</x:v>
      </x:c>
      <x:c r="G6" t="str">
        <x:v>Produtivo</x:v>
      </x:c>
      <x:c r="H6" t="str">
        <x:v>Cupuacu</x:v>
      </x:c>
      <x:c r="I6" t="n">
        <x:v>-2.535</x:v>
      </x:c>
      <x:c r="J6" t="n">
        <x:v>-54.7105</x:v>
      </x:c>
      <x:c r="K6" t="str">
        <x:v>Ativo</x:v>
      </x:c>
      <x:c r="L6" t="str">
        <x:v>Area simulada para teste de relacionamento com propriedade.</x:v>
      </x:c>
    </x:row>
    <x:row r="7">
      <x:c r="A7" t="str">
        <x:v>area_0006</x:v>
      </x:c>
      <x:c r="B7" t="str">
        <x:v>prop_0006</x:v>
      </x:c>
      <x:c r="C7" t="str">
        <x:v>TAL-06</x:v>
      </x:c>
      <x:c r="D7" t="str">
        <x:v>Gleba 06</x:v>
      </x:c>
      <x:c r="E7" t="str">
        <x:v>Gleba</x:v>
      </x:c>
      <x:c r="F7" t="n">
        <x:v>111.6</x:v>
      </x:c>
      <x:c r="G7" t="str">
        <x:v>Implantacao</x:v>
      </x:c>
      <x:c r="H7" t="str">
        <x:v>Soja</x:v>
      </x:c>
      <x:c r="I7" t="n">
        <x:v>-10.889</x:v>
      </x:c>
      <x:c r="J7" t="n">
        <x:v>-61.9552</x:v>
      </x:c>
      <x:c r="K7" t="str">
        <x:v>Ativo</x:v>
      </x:c>
      <x:c r="L7" t="str">
        <x:v>Area simulada para teste de relacionamento com propriedade.</x:v>
      </x:c>
    </x:row>
    <x:row r="8">
      <x:c r="A8" t="str">
        <x:v>area_0007</x:v>
      </x:c>
      <x:c r="B8" t="str">
        <x:v>prop_0007</x:v>
      </x:c>
      <x:c r="C8" t="str">
        <x:v>TAL-07</x:v>
      </x:c>
      <x:c r="D8" t="str">
        <x:v>Talhao 07</x:v>
      </x:c>
      <x:c r="E8" t="str">
        <x:v>Talhao</x:v>
      </x:c>
      <x:c r="F8" t="n">
        <x:v>3.89</x:v>
      </x:c>
      <x:c r="G8" t="str">
        <x:v>Reserva</x:v>
      </x:c>
      <x:c r="H8" t="str">
        <x:v>Pimentao</x:v>
      </x:c>
      <x:c r="I8" t="n">
        <x:v>-2.0382</x:v>
      </x:c>
      <x:c r="J8" t="n">
        <x:v>-60.0291</x:v>
      </x:c>
      <x:c r="K8" t="str">
        <x:v>Pendente</x:v>
      </x:c>
      <x:c r="L8" t="str">
        <x:v>Area simulada para teste de relacionamento com propriedade.</x:v>
      </x:c>
    </x:row>
    <x:row r="9">
      <x:c r="A9" t="str">
        <x:v>area_0008</x:v>
      </x:c>
      <x:c r="B9" t="str">
        <x:v>prop_0008</x:v>
      </x:c>
      <x:c r="C9" t="str">
        <x:v>TAL-08</x:v>
      </x:c>
      <x:c r="D9" t="str">
        <x:v>Gleba 08</x:v>
      </x:c>
      <x:c r="E9" t="str">
        <x:v>Gleba</x:v>
      </x:c>
      <x:c r="F9" t="n">
        <x:v>214.2</x:v>
      </x:c>
      <x:c r="G9" t="str">
        <x:v>Pousio</x:v>
      </x:c>
      <x:c r="H9" t="str">
        <x:v>Capim</x:v>
      </x:c>
      <x:c r="I9" t="n">
        <x:v>-8.0346</x:v>
      </x:c>
      <x:c r="J9" t="n">
        <x:v>-50.0359</x:v>
      </x:c>
      <x:c r="K9" t="str">
        <x:v>Ativo</x:v>
      </x:c>
      <x:c r="L9" t="str">
        <x:v>Area simulada para teste de relacionamento com propriedade.</x:v>
      </x:c>
    </x:row>
    <x:row r="10">
      <x:c r="A10" t="str">
        <x:v>area_0009</x:v>
      </x:c>
      <x:c r="B10" t="str">
        <x:v>prop_0009</x:v>
      </x:c>
      <x:c r="C10" t="str">
        <x:v>TAL-09</x:v>
      </x:c>
      <x:c r="D10" t="str">
        <x:v>Talhao 09</x:v>
      </x:c>
      <x:c r="E10" t="str">
        <x:v>Talhao</x:v>
      </x:c>
      <x:c r="F10" t="n">
        <x:v>37.85</x:v>
      </x:c>
      <x:c r="G10" t="str">
        <x:v>Produtivo</x:v>
      </x:c>
      <x:c r="H10" t="str">
        <x:v>Acai</x:v>
      </x:c>
      <x:c r="I10" t="n">
        <x:v>-3.3722</x:v>
      </x:c>
      <x:c r="J10" t="n">
        <x:v>-64.7245</x:v>
      </x:c>
      <x:c r="K10" t="str">
        <x:v>Ativo</x:v>
      </x:c>
      <x:c r="L10" t="str">
        <x:v>Area simulada para teste de relacionamento com propriedade.</x:v>
      </x:c>
    </x:row>
    <x:row r="11">
      <x:c r="A11" t="str">
        <x:v>area_0010</x:v>
      </x:c>
      <x:c r="B11" t="str">
        <x:v>prop_0010</x:v>
      </x:c>
      <x:c r="C11" t="str">
        <x:v>TAL-10</x:v>
      </x:c>
      <x:c r="D11" t="str">
        <x:v>Gleba 10</x:v>
      </x:c>
      <x:c r="E11" t="str">
        <x:v>Gleba</x:v>
      </x:c>
      <x:c r="F11" t="n">
        <x:v>2.3</x:v>
      </x:c>
      <x:c r="G11" t="str">
        <x:v>Implantacao</x:v>
      </x:c>
      <x:c r="H11" t="str">
        <x:v>Macaxeira</x:v>
      </x:c>
      <x:c r="I11" t="n">
        <x:v>-3.772</x:v>
      </x:c>
      <x:c r="J11" t="n">
        <x:v>-60.366</x:v>
      </x:c>
      <x:c r="K11" t="str">
        <x:v>Ativo</x:v>
      </x:c>
      <x:c r="L11" t="str">
        <x:v>Area simulada para teste de relacionamento com propriedade.</x:v>
      </x:c>
    </x:row>
  </x:sheetData>
  <x:autoFilter ref="A1:L11"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id_documento</x:v>
      </x:c>
      <x:c r="B1" t="str">
        <x:v>id_propriedade</x:v>
      </x:c>
      <x:c r="C1" t="str">
        <x:v>tipo_documento</x:v>
      </x:c>
      <x:c r="D1" t="str">
        <x:v>numero_documento</x:v>
      </x:c>
      <x:c r="E1" t="str">
        <x:v>orgao_emissor</x:v>
      </x:c>
      <x:c r="F1" t="str">
        <x:v>data_emissao</x:v>
      </x:c>
      <x:c r="G1" t="str">
        <x:v>data_validade</x:v>
      </x:c>
      <x:c r="H1" t="str">
        <x:v>status_documento</x:v>
      </x:c>
      <x:c r="I1" t="str">
        <x:v>url_arquivo</x:v>
      </x:c>
      <x:c r="J1" t="str">
        <x:v>observacoes</x:v>
      </x:c>
    </x:row>
    <x:row r="2">
      <x:c r="A2" t="str">
        <x:v>doc_0001</x:v>
      </x:c>
      <x:c r="B2" t="str">
        <x:v>prop_0001</x:v>
      </x:c>
      <x:c r="C2" t="str">
        <x:v>CAR</x:v>
      </x:c>
      <x:c r="D2" t="str">
        <x:v>CAR-000001</x:v>
      </x:c>
      <x:c r="E2" t="str">
        <x:v>Orgao estadual</x:v>
      </x:c>
      <x:c r="F2" t="str">
        <x:v>2026-01-10</x:v>
      </x:c>
      <x:c r="G2" t="str"/>
      <x:c r="H2" t="str">
        <x:v>Em analise</x:v>
      </x:c>
      <x:c r="I2" t="str">
        <x:v>https://storage.supabase.co/propriedades/prop_0001/documento_1.pdf</x:v>
      </x:c>
      <x:c r="J2" t="str">
        <x:v>Documento simulado para fluxo de upload e importacao.</x:v>
      </x:c>
    </x:row>
    <x:row r="3">
      <x:c r="A3" t="str">
        <x:v>doc_0002</x:v>
      </x:c>
      <x:c r="B3" t="str">
        <x:v>prop_0002</x:v>
      </x:c>
      <x:c r="C3" t="str">
        <x:v>CCIR</x:v>
      </x:c>
      <x:c r="D3" t="str">
        <x:v>CCIR-000002</x:v>
      </x:c>
      <x:c r="E3" t="str">
        <x:v>Orgao federal</x:v>
      </x:c>
      <x:c r="F3" t="str">
        <x:v>2026-02-10</x:v>
      </x:c>
      <x:c r="G3" t="str">
        <x:v>2027-02-10</x:v>
      </x:c>
      <x:c r="H3" t="str">
        <x:v>Valido</x:v>
      </x:c>
      <x:c r="I3" t="str">
        <x:v>https://storage.supabase.co/propriedades/prop_0002/documento_2.pdf</x:v>
      </x:c>
      <x:c r="J3" t="str">
        <x:v>Documento simulado para fluxo de upload e importacao.</x:v>
      </x:c>
    </x:row>
    <x:row r="4">
      <x:c r="A4" t="str">
        <x:v>doc_0003</x:v>
      </x:c>
      <x:c r="B4" t="str">
        <x:v>prop_0003</x:v>
      </x:c>
      <x:c r="C4" t="str">
        <x:v>ITR</x:v>
      </x:c>
      <x:c r="D4" t="str">
        <x:v>ITR-000003</x:v>
      </x:c>
      <x:c r="E4" t="str">
        <x:v>Orgao estadual</x:v>
      </x:c>
      <x:c r="F4" t="str">
        <x:v>2026-03-10</x:v>
      </x:c>
      <x:c r="G4" t="str">
        <x:v>2027-03-10</x:v>
      </x:c>
      <x:c r="H4" t="str">
        <x:v>Valido</x:v>
      </x:c>
      <x:c r="I4" t="str">
        <x:v>https://storage.supabase.co/propriedades/prop_0003/documento_3.pdf</x:v>
      </x:c>
      <x:c r="J4" t="str">
        <x:v>Documento simulado para fluxo de upload e importacao.</x:v>
      </x:c>
    </x:row>
    <x:row r="5">
      <x:c r="A5" t="str">
        <x:v>doc_0004</x:v>
      </x:c>
      <x:c r="B5" t="str">
        <x:v>prop_0004</x:v>
      </x:c>
      <x:c r="C5" t="str">
        <x:v>Matricula</x:v>
      </x:c>
      <x:c r="D5" t="str">
        <x:v>MATRICULA-000004</x:v>
      </x:c>
      <x:c r="E5" t="str">
        <x:v>Orgao federal</x:v>
      </x:c>
      <x:c r="F5" t="str">
        <x:v>2026-04-10</x:v>
      </x:c>
      <x:c r="G5" t="str"/>
      <x:c r="H5" t="str">
        <x:v>Valido</x:v>
      </x:c>
      <x:c r="I5" t="str">
        <x:v>https://storage.supabase.co/propriedades/prop_0004/documento_4.pdf</x:v>
      </x:c>
      <x:c r="J5" t="str">
        <x:v>Documento simulado para fluxo de upload e importacao.</x:v>
      </x:c>
    </x:row>
    <x:row r="6">
      <x:c r="A6" t="str">
        <x:v>doc_0005</x:v>
      </x:c>
      <x:c r="B6" t="str">
        <x:v>prop_0005</x:v>
      </x:c>
      <x:c r="C6" t="str">
        <x:v>Contrato</x:v>
      </x:c>
      <x:c r="D6" t="str">
        <x:v>CONTRATO-000005</x:v>
      </x:c>
      <x:c r="E6" t="str">
        <x:v>Orgao estadual</x:v>
      </x:c>
      <x:c r="F6" t="str">
        <x:v>2026-05-10</x:v>
      </x:c>
      <x:c r="G6" t="str">
        <x:v>2027-05-10</x:v>
      </x:c>
      <x:c r="H6" t="str">
        <x:v>Valido</x:v>
      </x:c>
      <x:c r="I6" t="str">
        <x:v>https://storage.supabase.co/propriedades/prop_0005/documento_5.pdf</x:v>
      </x:c>
      <x:c r="J6" t="str">
        <x:v>Documento simulado para fluxo de upload e importacao.</x:v>
      </x:c>
    </x:row>
    <x:row r="7">
      <x:c r="A7" t="str">
        <x:v>doc_0006</x:v>
      </x:c>
      <x:c r="B7" t="str">
        <x:v>prop_0006</x:v>
      </x:c>
      <x:c r="C7" t="str">
        <x:v>Licenca</x:v>
      </x:c>
      <x:c r="D7" t="str">
        <x:v>LICENCA-000006</x:v>
      </x:c>
      <x:c r="E7" t="str">
        <x:v>Orgao federal</x:v>
      </x:c>
      <x:c r="F7" t="str">
        <x:v>2026-06-10</x:v>
      </x:c>
      <x:c r="G7" t="str">
        <x:v>2027-06-10</x:v>
      </x:c>
      <x:c r="H7" t="str">
        <x:v>Em analise</x:v>
      </x:c>
      <x:c r="I7" t="str">
        <x:v>https://storage.supabase.co/propriedades/prop_0006/documento_6.pdf</x:v>
      </x:c>
      <x:c r="J7" t="str">
        <x:v>Documento simulado para fluxo de upload e importacao.</x:v>
      </x:c>
    </x:row>
    <x:row r="8">
      <x:c r="A8" t="str">
        <x:v>doc_0007</x:v>
      </x:c>
      <x:c r="B8" t="str">
        <x:v>prop_0007</x:v>
      </x:c>
      <x:c r="C8" t="str">
        <x:v>Georreferenciamento</x:v>
      </x:c>
      <x:c r="D8" t="str">
        <x:v>GEORREFERENCIAMENTO-000007</x:v>
      </x:c>
      <x:c r="E8" t="str">
        <x:v>Orgao estadual</x:v>
      </x:c>
      <x:c r="F8" t="str">
        <x:v>2026-07-10</x:v>
      </x:c>
      <x:c r="G8" t="str"/>
      <x:c r="H8" t="str">
        <x:v>Valido</x:v>
      </x:c>
      <x:c r="I8" t="str">
        <x:v>https://storage.supabase.co/propriedades/prop_0007/documento_7.pdf</x:v>
      </x:c>
      <x:c r="J8" t="str">
        <x:v>Documento simulado para fluxo de upload e importacao.</x:v>
      </x:c>
    </x:row>
    <x:row r="9">
      <x:c r="A9" t="str">
        <x:v>doc_0008</x:v>
      </x:c>
      <x:c r="B9" t="str">
        <x:v>prop_0008</x:v>
      </x:c>
      <x:c r="C9" t="str">
        <x:v>Declaracao</x:v>
      </x:c>
      <x:c r="D9" t="str">
        <x:v>DECLARACAO-000008</x:v>
      </x:c>
      <x:c r="E9" t="str">
        <x:v>Orgao federal</x:v>
      </x:c>
      <x:c r="F9" t="str">
        <x:v>2026-08-10</x:v>
      </x:c>
      <x:c r="G9" t="str">
        <x:v>2027-08-10</x:v>
      </x:c>
      <x:c r="H9" t="str">
        <x:v>Valido</x:v>
      </x:c>
      <x:c r="I9" t="str">
        <x:v>https://storage.supabase.co/propriedades/prop_0008/documento_8.pdf</x:v>
      </x:c>
      <x:c r="J9" t="str">
        <x:v>Documento simulado para fluxo de upload e importacao.</x:v>
      </x:c>
    </x:row>
    <x:row r="10">
      <x:c r="A10" t="str">
        <x:v>doc_0009</x:v>
      </x:c>
      <x:c r="B10" t="str">
        <x:v>prop_0009</x:v>
      </x:c>
      <x:c r="C10" t="str">
        <x:v>Associacao</x:v>
      </x:c>
      <x:c r="D10" t="str">
        <x:v>ASSOCIACAO-000009</x:v>
      </x:c>
      <x:c r="E10" t="str">
        <x:v>Orgao estadual</x:v>
      </x:c>
      <x:c r="F10" t="str">
        <x:v>2026-09-10</x:v>
      </x:c>
      <x:c r="G10" t="str">
        <x:v>2027-09-10</x:v>
      </x:c>
      <x:c r="H10" t="str">
        <x:v>Valido</x:v>
      </x:c>
      <x:c r="I10" t="str">
        <x:v>https://storage.supabase.co/propriedades/prop_0009/documento_9.pdf</x:v>
      </x:c>
      <x:c r="J10" t="str">
        <x:v>Documento simulado para fluxo de upload e importacao.</x:v>
      </x:c>
    </x:row>
    <x:row r="11">
      <x:c r="A11" t="str">
        <x:v>doc_0010</x:v>
      </x:c>
      <x:c r="B11" t="str">
        <x:v>prop_0010</x:v>
      </x:c>
      <x:c r="C11" t="str">
        <x:v>Cadastro municipal</x:v>
      </x:c>
      <x:c r="D11" t="str">
        <x:v>CADASTRO-MUNICIPAL-000010</x:v>
      </x:c>
      <x:c r="E11" t="str">
        <x:v>Orgao federal</x:v>
      </x:c>
      <x:c r="F11" t="str">
        <x:v>2026-01-10</x:v>
      </x:c>
      <x:c r="G11" t="str"/>
      <x:c r="H11" t="str">
        <x:v>Valido</x:v>
      </x:c>
      <x:c r="I11" t="str">
        <x:v>https://storage.supabase.co/propriedades/prop_0010/documento_10.pdf</x:v>
      </x:c>
      <x:c r="J11" t="str">
        <x:v>Documento simulado para fluxo de upload e importacao.</x:v>
      </x:c>
    </x:row>
  </x:sheetData>
  <x:autoFilter ref="A1:J11"/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item</x:v>
      </x:c>
      <x:c r="B1" t="str">
        <x:v>sugestao</x:v>
      </x:c>
      <x:c r="C1" t="str">
        <x:v>observacao</x:v>
      </x:c>
    </x:row>
    <x:row r="2">
      <x:c r="A2" t="str">
        <x:v>tabela_principal</x:v>
      </x:c>
      <x:c r="B2" t="str">
        <x:v>propriedades_agricolas</x:v>
      </x:c>
      <x:c r="C2" t="str">
        <x:v>Tabela principal do cadastro.</x:v>
      </x:c>
    </x:row>
    <x:row r="3">
      <x:c r="A3" t="str">
        <x:v>tabela_contatos</x:v>
      </x:c>
      <x:c r="B3" t="str">
        <x:v>propriedade_contatos</x:v>
      </x:c>
      <x:c r="C3" t="str">
        <x:v>Relacionamento 1:N com propriedades_agricolas.</x:v>
      </x:c>
    </x:row>
    <x:row r="4">
      <x:c r="A4" t="str">
        <x:v>tabela_areas</x:v>
      </x:c>
      <x:c r="B4" t="str">
        <x:v>propriedade_areas</x:v>
      </x:c>
      <x:c r="C4" t="str">
        <x:v>Relacionamento 1:N com talhoes, glebas e areas.</x:v>
      </x:c>
    </x:row>
    <x:row r="5">
      <x:c r="A5" t="str">
        <x:v>tabela_documentos</x:v>
      </x:c>
      <x:c r="B5" t="str">
        <x:v>propriedade_documentos</x:v>
      </x:c>
      <x:c r="C5" t="str">
        <x:v>Relacionamento 1:N com arquivos e documentos.</x:v>
      </x:c>
    </x:row>
    <x:row r="6">
      <x:c r="A6" t="str">
        <x:v>primary_key</x:v>
      </x:c>
      <x:c r="B6" t="str">
        <x:v>id_propriedade</x:v>
      </x:c>
      <x:c r="C6" t="str">
        <x:v>Pode ser UUID ou chave controlada pelo ecossistema Genius.</x:v>
      </x:c>
    </x:row>
    <x:row r="7">
      <x:c r="A7" t="str">
        <x:v>foreign_keys</x:v>
      </x:c>
      <x:c r="B7" t="str">
        <x:v>id_propriedade</x:v>
      </x:c>
      <x:c r="C7" t="str">
        <x:v>Usada em contatos, areas e documentos.</x:v>
      </x:c>
    </x:row>
    <x:row r="8">
      <x:c r="A8" t="str">
        <x:v>sync_status</x:v>
      </x:c>
      <x:c r="B8" t="str">
        <x:v>pendente | validado | importado | erro</x:v>
      </x:c>
      <x:c r="C8" t="str">
        <x:v>Controle de envio para Supabase.</x:v>
      </x:c>
    </x:row>
    <x:row r="9">
      <x:c r="A9" t="str">
        <x:v>rls_sugerido</x:v>
      </x:c>
      <x:c r="B9" t="str">
        <x:v>por organizacao/unidade/propriedade</x:v>
      </x:c>
      <x:c r="C9" t="str">
        <x:v>Preparar para Row Level Security.</x:v>
      </x:c>
    </x:row>
    <x:row r="10">
      <x:c r="A10" t="str">
        <x:v>observacao</x:v>
      </x:c>
      <x:c r="B10" t="str">
        <x:v>Manter ids estaveis</x:v>
      </x:c>
      <x:c r="C10" t="str">
        <x:v>Evita duplicidade nas importacoes.</x:v>
      </x:c>
    </x:row>
  </x:sheetData>
  <x:autoFilter ref="A1:C10"/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tabela_sugerida</x:v>
      </x:c>
      <x:c r="B1" t="str">
        <x:v>campo</x:v>
      </x:c>
      <x:c r="C1" t="str">
        <x:v>tipo_sugerido_supabase</x:v>
      </x:c>
      <x:c r="D1" t="str">
        <x:v>obrigatorio</x:v>
      </x:c>
      <x:c r="E1" t="str">
        <x:v>chave_relacao</x:v>
      </x:c>
      <x:c r="F1" t="str">
        <x:v>validacao_lista</x:v>
      </x:c>
      <x:c r="G1" t="str">
        <x:v>descricao</x:v>
      </x:c>
      <x:c r="H1" t="str">
        <x:v>exemplo</x:v>
      </x:c>
    </x:row>
    <x:row r="2">
      <x:c r="A2" t="str">
        <x:v>propriedades_agricolas</x:v>
      </x:c>
      <x:c r="B2" t="str">
        <x:v>id_propriedade</x:v>
      </x:c>
      <x:c r="C2" t="str">
        <x:v>text primary key</x:v>
      </x:c>
      <x:c r="D2" t="str">
        <x:v>Sim</x:v>
      </x:c>
      <x:c r="E2" t="str">
        <x:v>PK</x:v>
      </x:c>
      <x:c r="F2" t="str"/>
      <x:c r="G2" t="str">
        <x:v>Identificador unico da propriedade.</x:v>
      </x:c>
      <x:c r="H2" t="str">
        <x:v>prop_0001</x:v>
      </x:c>
    </x:row>
    <x:row r="3">
      <x:c r="A3" t="str">
        <x:v>propriedades_agricolas</x:v>
      </x:c>
      <x:c r="B3" t="str">
        <x:v>codigo_propriedade</x:v>
      </x:c>
      <x:c r="C3" t="str">
        <x:v>text unique</x:v>
      </x:c>
      <x:c r="D3" t="str">
        <x:v>Sim</x:v>
      </x:c>
      <x:c r="E3" t="str">
        <x:v>Unique</x:v>
      </x:c>
      <x:c r="F3" t="str"/>
      <x:c r="G3" t="str">
        <x:v>Codigo humano de referencia.</x:v>
      </x:c>
      <x:c r="H3" t="str">
        <x:v>PA-0001</x:v>
      </x:c>
    </x:row>
    <x:row r="4">
      <x:c r="A4" t="str">
        <x:v>propriedades_agricolas</x:v>
      </x:c>
      <x:c r="B4" t="str">
        <x:v>nome_propriedade</x:v>
      </x:c>
      <x:c r="C4" t="str">
        <x:v>text</x:v>
      </x:c>
      <x:c r="D4" t="str">
        <x:v>Sim</x:v>
      </x:c>
      <x:c r="E4" t="str"/>
      <x:c r="F4" t="str"/>
      <x:c r="G4" t="str">
        <x:v>Nome oficial ou operacional da propriedade.</x:v>
      </x:c>
      <x:c r="H4" t="str">
        <x:v>Fazenda Santa Clara</x:v>
      </x:c>
    </x:row>
    <x:row r="5">
      <x:c r="A5" t="str">
        <x:v>propriedades_agricolas</x:v>
      </x:c>
      <x:c r="B5" t="str">
        <x:v>tipo_propriedade</x:v>
      </x:c>
      <x:c r="C5" t="str">
        <x:v>text</x:v>
      </x:c>
      <x:c r="D5" t="str">
        <x:v>Sim</x:v>
      </x:c>
      <x:c r="E5" t="str"/>
      <x:c r="F5" t="str">
        <x:v>tipo_propriedade</x:v>
      </x:c>
      <x:c r="G5" t="str">
        <x:v>Classificacao operacional da propriedade.</x:v>
      </x:c>
      <x:c r="H5" t="str">
        <x:v>Fazenda</x:v>
      </x:c>
    </x:row>
    <x:row r="6">
      <x:c r="A6" t="str">
        <x:v>propriedades_agricolas</x:v>
      </x:c>
      <x:c r="B6" t="str">
        <x:v>status_cadastro</x:v>
      </x:c>
      <x:c r="C6" t="str">
        <x:v>text</x:v>
      </x:c>
      <x:c r="D6" t="str">
        <x:v>Sim</x:v>
      </x:c>
      <x:c r="E6" t="str"/>
      <x:c r="F6" t="str">
        <x:v>status_cadastro</x:v>
      </x:c>
      <x:c r="G6" t="str">
        <x:v>Estado do cadastro.</x:v>
      </x:c>
      <x:c r="H6" t="str">
        <x:v>Ativo</x:v>
      </x:c>
    </x:row>
    <x:row r="7">
      <x:c r="A7" t="str">
        <x:v>propriedades_agricolas</x:v>
      </x:c>
      <x:c r="B7" t="str">
        <x:v>situacao_operacional</x:v>
      </x:c>
      <x:c r="C7" t="str">
        <x:v>text</x:v>
      </x:c>
      <x:c r="D7" t="str">
        <x:v>Nao</x:v>
      </x:c>
      <x:c r="E7" t="str"/>
      <x:c r="F7" t="str">
        <x:v>situacao_operacional</x:v>
      </x:c>
      <x:c r="G7" t="str">
        <x:v>Condicao operacional atual.</x:v>
      </x:c>
      <x:c r="H7" t="str">
        <x:v>Em operacao</x:v>
      </x:c>
    </x:row>
    <x:row r="8">
      <x:c r="A8" t="str">
        <x:v>propriedades_agricolas</x:v>
      </x:c>
      <x:c r="B8" t="str">
        <x:v>data_cadastro</x:v>
      </x:c>
      <x:c r="C8" t="str">
        <x:v>date</x:v>
      </x:c>
      <x:c r="D8" t="str">
        <x:v>Sim</x:v>
      </x:c>
      <x:c r="E8" t="str"/>
      <x:c r="F8" t="str"/>
      <x:c r="G8" t="str">
        <x:v>Data do cadastro inicial.</x:v>
      </x:c>
      <x:c r="H8" t="str">
        <x:v>2026-04-01</x:v>
      </x:c>
    </x:row>
    <x:row r="9">
      <x:c r="A9" t="str">
        <x:v>propriedades_agricolas</x:v>
      </x:c>
      <x:c r="B9" t="str">
        <x:v>cpf_cnpj_proprietario</x:v>
      </x:c>
      <x:c r="C9" t="str">
        <x:v>text</x:v>
      </x:c>
      <x:c r="D9" t="str">
        <x:v>Nao</x:v>
      </x:c>
      <x:c r="E9" t="str"/>
      <x:c r="F9" t="str"/>
      <x:c r="G9" t="str">
        <x:v>Documento do proprietario ou entidade responsavel.</x:v>
      </x:c>
      <x:c r="H9" t="str">
        <x:v>04231876000110</x:v>
      </x:c>
    </x:row>
    <x:row r="10">
      <x:c r="A10" t="str">
        <x:v>propriedades_agricolas</x:v>
      </x:c>
      <x:c r="B10" t="str">
        <x:v>nome_proprietario</x:v>
      </x:c>
      <x:c r="C10" t="str">
        <x:v>text</x:v>
      </x:c>
      <x:c r="D10" t="str">
        <x:v>Sim</x:v>
      </x:c>
      <x:c r="E10" t="str"/>
      <x:c r="F10" t="str"/>
      <x:c r="G10" t="str">
        <x:v>Nome do proprietario, possuidor, parceiro ou entidade.</x:v>
      </x:c>
      <x:c r="H10" t="str">
        <x:v>Agro Santa Clara Ltda</x:v>
      </x:c>
    </x:row>
    <x:row r="11">
      <x:c r="A11" t="str">
        <x:v>propriedades_agricolas</x:v>
      </x:c>
      <x:c r="B11" t="str">
        <x:v>uf</x:v>
      </x:c>
      <x:c r="C11" t="str">
        <x:v>text</x:v>
      </x:c>
      <x:c r="D11" t="str">
        <x:v>Sim</x:v>
      </x:c>
      <x:c r="E11" t="str"/>
      <x:c r="F11" t="str">
        <x:v>uf</x:v>
      </x:c>
      <x:c r="G11" t="str">
        <x:v>Unidade federativa.</x:v>
      </x:c>
      <x:c r="H11" t="str">
        <x:v>AM</x:v>
      </x:c>
    </x:row>
    <x:row r="12">
      <x:c r="A12" t="str">
        <x:v>propriedades_agricolas</x:v>
      </x:c>
      <x:c r="B12" t="str">
        <x:v>municipio</x:v>
      </x:c>
      <x:c r="C12" t="str">
        <x:v>text</x:v>
      </x:c>
      <x:c r="D12" t="str">
        <x:v>Sim</x:v>
      </x:c>
      <x:c r="E12" t="str"/>
      <x:c r="F12" t="str"/>
      <x:c r="G12" t="str">
        <x:v>Municipio da propriedade.</x:v>
      </x:c>
      <x:c r="H12" t="str">
        <x:v>Manaus</x:v>
      </x:c>
    </x:row>
    <x:row r="13">
      <x:c r="A13" t="str">
        <x:v>propriedades_agricolas</x:v>
      </x:c>
      <x:c r="B13" t="str">
        <x:v>latitude_sede</x:v>
      </x:c>
      <x:c r="C13" t="str">
        <x:v>numeric</x:v>
      </x:c>
      <x:c r="D13" t="str">
        <x:v>Nao</x:v>
      </x:c>
      <x:c r="E13" t="str"/>
      <x:c r="F13" t="str"/>
      <x:c r="G13" t="str">
        <x:v>Latitude decimal da sede ou ponto de referencia.</x:v>
      </x:c>
      <x:c r="H13" t="str">
        <x:v>-3.1190</x:v>
      </x:c>
    </x:row>
    <x:row r="14">
      <x:c r="A14" t="str">
        <x:v>propriedades_agricolas</x:v>
      </x:c>
      <x:c r="B14" t="str">
        <x:v>longitude_sede</x:v>
      </x:c>
      <x:c r="C14" t="str">
        <x:v>numeric</x:v>
      </x:c>
      <x:c r="D14" t="str">
        <x:v>Nao</x:v>
      </x:c>
      <x:c r="E14" t="str"/>
      <x:c r="F14" t="str"/>
      <x:c r="G14" t="str">
        <x:v>Longitude decimal da sede ou ponto de referencia.</x:v>
      </x:c>
      <x:c r="H14" t="str">
        <x:v>-60.0210</x:v>
      </x:c>
    </x:row>
    <x:row r="15">
      <x:c r="A15" t="str">
        <x:v>propriedades_agricolas</x:v>
      </x:c>
      <x:c r="B15" t="str">
        <x:v>area_total_ha</x:v>
      </x:c>
      <x:c r="C15" t="str">
        <x:v>numeric</x:v>
      </x:c>
      <x:c r="D15" t="str">
        <x:v>Nao</x:v>
      </x:c>
      <x:c r="E15" t="str"/>
      <x:c r="F15" t="str"/>
      <x:c r="G15" t="str">
        <x:v>Area total em hectares.</x:v>
      </x:c>
      <x:c r="H15" t="str">
        <x:v>1250.50</x:v>
      </x:c>
    </x:row>
    <x:row r="16">
      <x:c r="A16" t="str">
        <x:v>propriedades_agricolas</x:v>
      </x:c>
      <x:c r="B16" t="str">
        <x:v>area_produtiva_ha</x:v>
      </x:c>
      <x:c r="C16" t="str">
        <x:v>numeric</x:v>
      </x:c>
      <x:c r="D16" t="str">
        <x:v>Nao</x:v>
      </x:c>
      <x:c r="E16" t="str"/>
      <x:c r="F16" t="str"/>
      <x:c r="G16" t="str">
        <x:v>Area produtiva em hectares.</x:v>
      </x:c>
      <x:c r="H16" t="str">
        <x:v>820.00</x:v>
      </x:c>
    </x:row>
    <x:row r="17">
      <x:c r="A17" t="str">
        <x:v>propriedades_agricolas</x:v>
      </x:c>
      <x:c r="B17" t="str">
        <x:v>area_preservacao_ha</x:v>
      </x:c>
      <x:c r="C17" t="str">
        <x:v>numeric</x:v>
      </x:c>
      <x:c r="D17" t="str">
        <x:v>Nao</x:v>
      </x:c>
      <x:c r="E17" t="str"/>
      <x:c r="F17" t="str"/>
      <x:c r="G17" t="str">
        <x:v>Area de preservacao ou conservacao em hectares.</x:v>
      </x:c>
      <x:c r="H17" t="str">
        <x:v>310.00</x:v>
      </x:c>
    </x:row>
    <x:row r="18">
      <x:c r="A18" t="str">
        <x:v>propriedades_agricolas</x:v>
      </x:c>
      <x:c r="B18" t="str">
        <x:v>sync_status</x:v>
      </x:c>
      <x:c r="C18" t="str">
        <x:v>text</x:v>
      </x:c>
      <x:c r="D18" t="str">
        <x:v>Sim</x:v>
      </x:c>
      <x:c r="E18" t="str"/>
      <x:c r="F18" t="str">
        <x:v>sync_status</x:v>
      </x:c>
      <x:c r="G18" t="str">
        <x:v>Controle de importacao para Supabase.</x:v>
      </x:c>
      <x:c r="H18" t="str">
        <x:v>pendente</x:v>
      </x:c>
    </x:row>
    <x:row r="19">
      <x:c r="A19" t="str">
        <x:v>propriedade_contatos</x:v>
      </x:c>
      <x:c r="B19" t="str">
        <x:v>id_contato</x:v>
      </x:c>
      <x:c r="C19" t="str">
        <x:v>text primary key</x:v>
      </x:c>
      <x:c r="D19" t="str">
        <x:v>Sim</x:v>
      </x:c>
      <x:c r="E19" t="str">
        <x:v>PK</x:v>
      </x:c>
      <x:c r="F19" t="str"/>
      <x:c r="G19" t="str">
        <x:v>Identificador unico do contato.</x:v>
      </x:c>
      <x:c r="H19" t="str">
        <x:v>cont_0001</x:v>
      </x:c>
    </x:row>
    <x:row r="20">
      <x:c r="A20" t="str">
        <x:v>propriedade_contatos</x:v>
      </x:c>
      <x:c r="B20" t="str">
        <x:v>id_propriedade</x:v>
      </x:c>
      <x:c r="C20" t="str">
        <x:v>text references propriedades_agricolas</x:v>
      </x:c>
      <x:c r="D20" t="str">
        <x:v>Sim</x:v>
      </x:c>
      <x:c r="E20" t="str">
        <x:v>FK</x:v>
      </x:c>
      <x:c r="F20" t="str"/>
      <x:c r="G20" t="str">
        <x:v>Propriedade vinculada ao contato.</x:v>
      </x:c>
      <x:c r="H20" t="str">
        <x:v>prop_0001</x:v>
      </x:c>
    </x:row>
    <x:row r="21">
      <x:c r="A21" t="str">
        <x:v>propriedade_areas</x:v>
      </x:c>
      <x:c r="B21" t="str">
        <x:v>id_area</x:v>
      </x:c>
      <x:c r="C21" t="str">
        <x:v>text primary key</x:v>
      </x:c>
      <x:c r="D21" t="str">
        <x:v>Sim</x:v>
      </x:c>
      <x:c r="E21" t="str">
        <x:v>PK</x:v>
      </x:c>
      <x:c r="F21" t="str"/>
      <x:c r="G21" t="str">
        <x:v>Identificador unico da area, talhao ou gleba.</x:v>
      </x:c>
      <x:c r="H21" t="str">
        <x:v>area_0001</x:v>
      </x:c>
    </x:row>
    <x:row r="22">
      <x:c r="A22" t="str">
        <x:v>propriedade_areas</x:v>
      </x:c>
      <x:c r="B22" t="str">
        <x:v>id_propriedade</x:v>
      </x:c>
      <x:c r="C22" t="str">
        <x:v>text references propriedades_agricolas</x:v>
      </x:c>
      <x:c r="D22" t="str">
        <x:v>Sim</x:v>
      </x:c>
      <x:c r="E22" t="str">
        <x:v>FK</x:v>
      </x:c>
      <x:c r="F22" t="str"/>
      <x:c r="G22" t="str">
        <x:v>Propriedade vinculada a area.</x:v>
      </x:c>
      <x:c r="H22" t="str">
        <x:v>prop_0001</x:v>
      </x:c>
    </x:row>
    <x:row r="23">
      <x:c r="A23" t="str">
        <x:v>propriedade_documentos</x:v>
      </x:c>
      <x:c r="B23" t="str">
        <x:v>id_documento</x:v>
      </x:c>
      <x:c r="C23" t="str">
        <x:v>text primary key</x:v>
      </x:c>
      <x:c r="D23" t="str">
        <x:v>Sim</x:v>
      </x:c>
      <x:c r="E23" t="str">
        <x:v>PK</x:v>
      </x:c>
      <x:c r="F23" t="str"/>
      <x:c r="G23" t="str">
        <x:v>Identificador unico do documento.</x:v>
      </x:c>
      <x:c r="H23" t="str">
        <x:v>doc_0001</x:v>
      </x:c>
    </x:row>
    <x:row r="24">
      <x:c r="A24" t="str">
        <x:v>propriedade_documentos</x:v>
      </x:c>
      <x:c r="B24" t="str">
        <x:v>id_propriedade</x:v>
      </x:c>
      <x:c r="C24" t="str">
        <x:v>text references propriedades_agricolas</x:v>
      </x:c>
      <x:c r="D24" t="str">
        <x:v>Sim</x:v>
      </x:c>
      <x:c r="E24" t="str">
        <x:v>FK</x:v>
      </x:c>
      <x:c r="F24" t="str"/>
      <x:c r="G24" t="str">
        <x:v>Propriedade vinculada ao documento.</x:v>
      </x:c>
      <x:c r="H24" t="str">
        <x:v>prop_0001</x:v>
      </x:c>
    </x:row>
  </x:sheetData>
  <x:autoFilter ref="A1:H24"/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lista</x:v>
      </x:c>
      <x:c r="B1" t="str">
        <x:v>valor</x:v>
      </x:c>
    </x:row>
    <x:row r="2">
      <x:c r="A2" t="str">
        <x:v>tipo_propriedade</x:v>
      </x:c>
      <x:c r="B2" t="str">
        <x:v>Fazenda</x:v>
      </x:c>
    </x:row>
    <x:row r="3">
      <x:c r="A3" t="str">
        <x:v>tipo_propriedade</x:v>
      </x:c>
      <x:c r="B3" t="str">
        <x:v>Sitio</x:v>
      </x:c>
    </x:row>
    <x:row r="4">
      <x:c r="A4" t="str">
        <x:v>tipo_propriedade</x:v>
      </x:c>
      <x:c r="B4" t="str">
        <x:v>Chacara</x:v>
      </x:c>
    </x:row>
    <x:row r="5">
      <x:c r="A5" t="str">
        <x:v>tipo_propriedade</x:v>
      </x:c>
      <x:c r="B5" t="str">
        <x:v>Lote rural</x:v>
      </x:c>
    </x:row>
    <x:row r="6">
      <x:c r="A6" t="str">
        <x:v>tipo_propriedade</x:v>
      </x:c>
      <x:c r="B6" t="str">
        <x:v>Comunidade agricola</x:v>
      </x:c>
    </x:row>
    <x:row r="7">
      <x:c r="A7" t="str">
        <x:v>tipo_propriedade</x:v>
      </x:c>
      <x:c r="B7" t="str">
        <x:v>Unidade produtiva</x:v>
      </x:c>
    </x:row>
    <x:row r="8">
      <x:c r="A8" t="str">
        <x:v>status_cadastro</x:v>
      </x:c>
      <x:c r="B8" t="str">
        <x:v>Ativo</x:v>
      </x:c>
    </x:row>
    <x:row r="9">
      <x:c r="A9" t="str">
        <x:v>status_cadastro</x:v>
      </x:c>
      <x:c r="B9" t="str">
        <x:v>Inativo</x:v>
      </x:c>
    </x:row>
    <x:row r="10">
      <x:c r="A10" t="str">
        <x:v>status_cadastro</x:v>
      </x:c>
      <x:c r="B10" t="str">
        <x:v>Em validacao</x:v>
      </x:c>
    </x:row>
    <x:row r="11">
      <x:c r="A11" t="str">
        <x:v>status_cadastro</x:v>
      </x:c>
      <x:c r="B11" t="str">
        <x:v>Pendente</x:v>
      </x:c>
    </x:row>
    <x:row r="12">
      <x:c r="A12" t="str">
        <x:v>situacao_operacional</x:v>
      </x:c>
      <x:c r="B12" t="str">
        <x:v>Em operacao</x:v>
      </x:c>
    </x:row>
    <x:row r="13">
      <x:c r="A13" t="str">
        <x:v>situacao_operacional</x:v>
      </x:c>
      <x:c r="B13" t="str">
        <x:v>Em implantacao</x:v>
      </x:c>
    </x:row>
    <x:row r="14">
      <x:c r="A14" t="str">
        <x:v>situacao_operacional</x:v>
      </x:c>
      <x:c r="B14" t="str">
        <x:v>Em regularizacao</x:v>
      </x:c>
    </x:row>
    <x:row r="15">
      <x:c r="A15" t="str">
        <x:v>situacao_operacional</x:v>
      </x:c>
      <x:c r="B15" t="str">
        <x:v>Suspensa</x:v>
      </x:c>
    </x:row>
    <x:row r="16">
      <x:c r="A16" t="str">
        <x:v>sim_nao</x:v>
      </x:c>
      <x:c r="B16" t="str">
        <x:v>Sim</x:v>
      </x:c>
    </x:row>
    <x:row r="17">
      <x:c r="A17" t="str">
        <x:v>sim_nao</x:v>
      </x:c>
      <x:c r="B17" t="str">
        <x:v>Nao</x:v>
      </x:c>
    </x:row>
    <x:row r="18">
      <x:c r="A18" t="str">
        <x:v>sim_nao</x:v>
      </x:c>
      <x:c r="B18" t="str">
        <x:v>Parcial</x:v>
      </x:c>
    </x:row>
    <x:row r="19">
      <x:c r="A19" t="str">
        <x:v>sync_status</x:v>
      </x:c>
      <x:c r="B19" t="str">
        <x:v>pendente</x:v>
      </x:c>
    </x:row>
    <x:row r="20">
      <x:c r="A20" t="str">
        <x:v>sync_status</x:v>
      </x:c>
      <x:c r="B20" t="str">
        <x:v>validado</x:v>
      </x:c>
    </x:row>
    <x:row r="21">
      <x:c r="A21" t="str">
        <x:v>sync_status</x:v>
      </x:c>
      <x:c r="B21" t="str">
        <x:v>importado</x:v>
      </x:c>
    </x:row>
    <x:row r="22">
      <x:c r="A22" t="str">
        <x:v>sync_status</x:v>
      </x:c>
      <x:c r="B22" t="str">
        <x:v>erro</x:v>
      </x:c>
    </x:row>
    <x:row r="23">
      <x:c r="A23" t="str">
        <x:v>uf</x:v>
      </x:c>
      <x:c r="B23" t="str">
        <x:v>AM</x:v>
      </x:c>
    </x:row>
    <x:row r="24">
      <x:c r="A24" t="str">
        <x:v>uf</x:v>
      </x:c>
      <x:c r="B24" t="str">
        <x:v>PA</x:v>
      </x:c>
    </x:row>
    <x:row r="25">
      <x:c r="A25" t="str">
        <x:v>uf</x:v>
      </x:c>
      <x:c r="B25" t="str">
        <x:v>RO</x:v>
      </x:c>
    </x:row>
  </x:sheetData>
  <x:autoFilter ref="A1:B25"/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check</x:v>
      </x:c>
      <x:c r="B1" t="str">
        <x:v>formula</x:v>
      </x:c>
    </x:row>
    <x:row r="2">
      <x:c r="A2" t="str">
        <x:v>total_cadastros_preenchidos</x:v>
      </x:c>
      <x:c r="B2" t="n">
        <x:f>COUNTA(Cadastro_Propriedades!C2:C11)</x:f>
        <x:v>10</x:v>
      </x:c>
    </x:row>
    <x:row r="3">
      <x:c r="A3" t="str">
        <x:v>sem_id_propriedade</x:v>
      </x:c>
      <x:c r="B3" t="n">
        <x:f>COUNTBLANK(Cadastro_Propriedades!A2:A11)</x:f>
        <x:v>0</x:v>
      </x:c>
    </x:row>
    <x:row r="4">
      <x:c r="A4" t="str">
        <x:v>sem_nome_propriedade</x:v>
      </x:c>
      <x:c r="B4" t="n">
        <x:f>COUNTBLANK(Cadastro_Propriedades!C2:C11)</x:f>
        <x:v>0</x:v>
      </x:c>
    </x:row>
    <x:row r="5">
      <x:c r="A5" t="str">
        <x:v>sem_status</x:v>
      </x:c>
      <x:c r="B5" t="n">
        <x:f>COUNTBLANK(Cadastro_Propriedades!E2:E11)</x:f>
        <x:v>0</x:v>
      </x:c>
    </x:row>
    <x:row r="6">
      <x:c r="A6" t="str">
        <x:v>sem_municipio</x:v>
      </x:c>
      <x:c r="B6" t="n">
        <x:f>COUNTBLANK(Cadastro_Propriedades!O2:O11)</x:f>
        <x:v>0</x:v>
      </x:c>
    </x:row>
    <x:row r="7">
      <x:c r="A7" t="str">
        <x:v>sem_uf</x:v>
      </x:c>
      <x:c r="B7" t="n">
        <x:f>COUNTBLANK(Cadastro_Propriedades!N2:N11)</x:f>
        <x:v>0</x:v>
      </x:c>
    </x:row>
    <x:row r="8">
      <x:c r="A8" t="str">
        <x:v>area_total_informada</x:v>
      </x:c>
      <x:c r="B8" t="n">
        <x:f>SUM(Cadastro_Propriedades!T2:T11)</x:f>
        <x:v>7051.799999999999</x:v>
      </x:c>
    </x:row>
    <x:row r="9">
      <x:c r="A9" t="str">
        <x:v>pendentes_sync</x:v>
      </x:c>
      <x:c r="B9" t="n">
        <x:f>COUNTIF(Cadastro_Propriedades!AN2:AN11,"pendente")</x:f>
        <x:v>4</x:v>
      </x:c>
    </x:row>
    <x:row r="10">
      <x:c r="A10" t="str">
        <x:v>total_contatos</x:v>
      </x:c>
      <x:c r="B10" t="n">
        <x:f>COUNTA(Contatos!A2:A11)</x:f>
        <x:v>10</x:v>
      </x:c>
    </x:row>
    <x:row r="11">
      <x:c r="A11" t="str">
        <x:v>total_areas</x:v>
      </x:c>
      <x:c r="B11" t="n">
        <x:f>COUNTA(Areas_Talhoes_Glebas!A2:A11)</x:f>
        <x:v>10</x:v>
      </x:c>
    </x:row>
    <x:row r="12">
      <x:c r="A12" t="str">
        <x:v>total_documentos</x:v>
      </x:c>
      <x:c r="B12" t="n">
        <x:f>COUNTA(Documentos!A2:A11)</x:f>
        <x:v>10</x:v>
      </x:c>
    </x:row>
  </x:sheetData>
  <x:autoFilter ref="A1:B12"/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Cadastro de Propriedades Agricolas</x:v>
      </x:c>
      <x:c r="B1" t="str"/>
      <x:c r="C1" t="str"/>
      <x:c r="D1" t="str"/>
    </x:row>
    <x:row r="2">
      <x:c r="A2" t="str">
        <x:v>Uso</x:v>
      </x:c>
      <x:c r="B2" t="str">
        <x:v>Modelo com 10 cadastros simulados, filtros e propriedades de colunas para importacao futura no Supabase.</x:v>
      </x:c>
      <x:c r="C2" t="str"/>
      <x:c r="D2" t="str"/>
    </x:row>
    <x:row r="3">
      <x:c r="A3" t="str">
        <x:v>Aba principal</x:v>
      </x:c>
      <x:c r="B3" t="str">
        <x:v>Cadastro_Propriedades</x:v>
      </x:c>
      <x:c r="C3" t="str"/>
      <x:c r="D3" t="str"/>
    </x:row>
    <x:row r="4">
      <x:c r="A4" t="str">
        <x:v>Tabelas auxiliares</x:v>
      </x:c>
      <x:c r="B4" t="str">
        <x:v>Contatos, Areas_Talhoes_Glebas, Documentos</x:v>
      </x:c>
      <x:c r="C4" t="str"/>
      <x:c r="D4" t="str"/>
    </x:row>
    <x:row r="5">
      <x:c r="A5" t="str">
        <x:v>Controle Supabase</x:v>
      </x:c>
      <x:c r="B5" t="str">
        <x:v>Supabase_Mapeamento, Dicionario_Campos e sync_status</x:v>
      </x:c>
      <x:c r="C5" t="str"/>
      <x:c r="D5" t="str"/>
    </x:row>
    <x:row r="6">
      <x:c r="A6" t="str"/>
      <x:c r="B6" t="str"/>
      <x:c r="C6" t="str"/>
      <x:c r="D6" t="str"/>
    </x:row>
    <x:row r="7">
      <x:c r="A7" t="str">
        <x:v>Indicador</x:v>
      </x:c>
      <x:c r="B7" t="str">
        <x:v>Valor</x:v>
      </x:c>
      <x:c r="C7" t="str">
        <x:v>Observacao</x:v>
      </x:c>
      <x:c r="D7" t="str"/>
    </x:row>
    <x:row r="8">
      <x:c r="A8" t="str">
        <x:v>Cadastros preenchidos</x:v>
      </x:c>
      <x:c r="B8" t="n">
        <x:f>Checks!B2</x:f>
        <x:v>10</x:v>
      </x:c>
      <x:c r="C8" t="str">
        <x:v>Conta nomes preenchidos</x:v>
      </x:c>
      <x:c r="D8" t="str"/>
    </x:row>
    <x:row r="9">
      <x:c r="A9" t="str">
        <x:v>IDs em branco</x:v>
      </x:c>
      <x:c r="B9" t="n">
        <x:f>Checks!B3</x:f>
        <x:v>0</x:v>
      </x:c>
      <x:c r="C9" t="str">
        <x:v>Devem ser zero antes da importacao</x:v>
      </x:c>
      <x:c r="D9" t="str"/>
    </x:row>
    <x:row r="10">
      <x:c r="A10" t="str">
        <x:v>Area total informada ha</x:v>
      </x:c>
      <x:c r="B10" t="n">
        <x:f>Checks!B8</x:f>
        <x:v>7051.799999999999</x:v>
      </x:c>
      <x:c r="C10" t="str">
        <x:v>Soma das areas totais</x:v>
      </x:c>
      <x:c r="D10" t="str"/>
    </x:row>
    <x:row r="11">
      <x:c r="A11" t="str">
        <x:v>Pendentes de sync</x:v>
      </x:c>
      <x:c r="B11" t="n">
        <x:f>Checks!B9</x:f>
        <x:v>4</x:v>
      </x:c>
      <x:c r="C11" t="str">
        <x:v>Registros ainda nao importados</x:v>
      </x:c>
      <x:c r="D11" t="str"/>
    </x:row>
    <x:row r="12">
      <x:c r="A12" t="str">
        <x:v>Contatos cadastrados</x:v>
      </x:c>
      <x:c r="B12" t="n">
        <x:f>Checks!B10</x:f>
        <x:v>10</x:v>
      </x:c>
      <x:c r="C12" t="str">
        <x:v>Aba Contatos</x:v>
      </x:c>
      <x:c r="D12" t="str"/>
    </x:row>
    <x:row r="13">
      <x:c r="A13" t="str">
        <x:v>Areas cadastradas</x:v>
      </x:c>
      <x:c r="B13" t="n">
        <x:f>Checks!B11</x:f>
        <x:v>10</x:v>
      </x:c>
      <x:c r="C13" t="str">
        <x:v>Aba Areas_Talhoes_Glebas</x:v>
      </x:c>
      <x:c r="D13" t="str"/>
    </x:row>
    <x:row r="14">
      <x:c r="A14" t="str">
        <x:v>Documentos cadastrados</x:v>
      </x:c>
      <x:c r="B14" t="n">
        <x:f>Checks!B12</x:f>
        <x:v>10</x:v>
      </x:c>
      <x:c r="C14" t="str">
        <x:v>Aba Documentos</x:v>
      </x:c>
      <x:c r="D14" t="str"/>
    </x:row>
    <x:row r="15">
      <x:c r="A15" t="str">
        <x:v>Status recomendado</x:v>
      </x:c>
      <x:c r="B15" t="str">
        <x:v>Validar, exportar CSV e importar Supabase</x:v>
      </x:c>
      <x:c r="C15" t="str"/>
      <x:c r="D15" t="str"/>
    </x:row>
    <x:row r="16">
      <x:c r="A16" t="str">
        <x:v>Chave de integracao</x:v>
      </x:c>
      <x:c r="B16" t="str">
        <x:v>id_propriedade</x:v>
      </x:c>
      <x:c r="C16" t="str">
        <x:v>Usada como FK nas abas auxiliares</x:v>
      </x:c>
      <x:c r="D16" t="str"/>
    </x:row>
  </x:sheetData>
  <x:pageMargins left="0.7" right="0.7" top="0.75" bottom="0.75" header="0.3" footer="0.3"/>
</x:worksheet>
</file>